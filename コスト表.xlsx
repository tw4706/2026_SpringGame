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1AF6576B-3C8B-463D-99C4-CDCD4FF8DF2B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<sst xmlns="http://schemas.openxmlformats.org/spreadsheetml/2006/main" count="154" uniqueCount="65">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</sst>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A3" workbookViewId="0">
      <selection activeCell="G12" sqref="G12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32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1.5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10.5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>
        <v>0.5</v>
      </c>
      <c r="H8" s="18" t="s">
        <v>46</v>
      </c>
      <c r="J8" s="24" t="s">
        <v>39</v>
      </c>
      <c r="K8" s="2">
        <f>COUNTIF(H3:H35,J8)</f>
        <v>22</v>
      </c>
      <c r="L8" s="2">
        <f>COUNTIF(H:H, "未完了")</f>
        <v>22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10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>
        <v>0.5</v>
      </c>
      <c r="H11" s="18" t="s">
        <v>46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/>
      <c r="H12" s="18" t="s">
        <v>39</v>
      </c>
      <c r="I12" s="27"/>
      <c r="J12" t="s">
        <v>53</v>
      </c>
      <c r="K12" s="5">
        <f ca="1">DATE(2026,4,17)-TODAY()</f>
        <v>23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>
        <v>0.5</v>
      </c>
      <c r="H13" s="18" t="s">
        <v>46</v>
      </c>
      <c r="I13" s="27"/>
      <c r="J13" s="63" t="s">
        <v>52</v>
      </c>
      <c r="K13" s="5">
        <f ca="1">K11/K12</f>
        <v>1.0217391304347827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/>
      <c r="H14" s="29" t="s">
        <v>39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/>
      <c r="H15" s="29" t="s">
        <v>39</v>
      </c>
      <c r="I15" s="27"/>
      <c r="J15" s="41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/>
      <c r="H16" s="29" t="s">
        <v>39</v>
      </c>
      <c r="I16" s="27"/>
      <c r="J16" s="31" t="s">
        <v>55</v>
      </c>
      <c r="K16" s="32" t="s">
        <v>56</v>
      </c>
      <c r="L16" s="32" t="s">
        <v>57</v>
      </c>
      <c r="M16" s="32" t="s">
        <v>58</v>
      </c>
      <c r="N16" s="32" t="s">
        <v>59</v>
      </c>
      <c r="O16" s="33" t="s">
        <v>60</v>
      </c>
      <c r="P16" s="34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/>
      <c r="H17" s="29" t="s">
        <v>39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 t="s">
        <v>39</v>
      </c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2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 t="s">
        <v>39</v>
      </c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 t="s">
        <v>39</v>
      </c>
      <c r="J31" s="59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1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2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2026-03-25T09:22:36Z</dcterms:modified>
</cp:coreProperties>
</file>