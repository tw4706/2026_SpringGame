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SpringGame_2026\"/>
    </mc:Choice>
  </mc:AlternateContent>
  <xr:revisionPtr revIDLastSave="0" documentId="13_ncr:1_{E8377AEA-AE4C-4997-B580-F4CBCF6D9A4C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" l="1"/>
  <c r="L8" i="1"/>
  <c r="K8" i="1"/>
  <c r="L7" i="1"/>
  <c r="K7" i="1"/>
  <c r="L6" i="1"/>
  <c r="K6" i="1"/>
  <c r="L5" i="1"/>
  <c r="K5" i="1"/>
  <c r="K4" i="1"/>
</calcChain>
</file>

<file path=xl/sharedStrings.xml><?xml version="1.0" encoding="utf-8"?>
<sst xmlns="http://schemas.openxmlformats.org/spreadsheetml/2006/main" count="142" uniqueCount="54">
  <si>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</si>
  <si>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</si>
  <si>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</si>
  <si>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</si>
  <si>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</si>
  <si>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</si>
  <si>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</si>
  <si>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</si>
  <si>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</si>
  <si>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</si>
  <si>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</si>
  <si>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</si>
  <si>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</si>
  <si>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</si>
  <si>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</si>
  <si>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</si>
  <si>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</si>
  <si>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</si>
  <si>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</si>
  <si>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</si>
  <si>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</si>
  <si>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</si>
  <si>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</si>
  <si>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</si>
  <si>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</si>
  <si>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</si>
  <si>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</si>
  <si>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ステージの当たり判定</t>
    <rPh sb="5" eb="6">
      <t>ア</t>
    </rPh>
    <rPh sb="8" eb="10">
      <t>ハンテイ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</si>
  <si>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</si>
  <si>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</si>
  <si>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</si>
  <si>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</si>
  <si>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</si>
  <si>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</si>
  <si>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</si>
  <si>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</si>
  <si>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</si>
  <si>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</si>
  <si>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</si>
  <si>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</si>
  <si>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</si>
  <si>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</si>
  <si>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</si>
  <si>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</si>
  <si>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</si>
  <si>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</si>
  <si>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</si>
  <si>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</si>
  <si>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</si>
  <si>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</si>
  <si>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</si>
  <si>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 xml:space="preserve"> 　未完了</t>
    <rPh sb="2" eb="5">
      <t>ミカンリョウ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</si>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</sst>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/>
      <bottom/>
      <diagonal/>
    </border>
    <border>
      <left style="thin">
        <color theme="3" tint="0.89999084444715716"/>
      </left>
      <right/>
      <top/>
      <bottom style="thin">
        <color theme="3" tint="0.89999084444715716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4" fillId="0" borderId="6" xfId="0" applyFont="1" applyBorder="1">
      <alignment vertical="center"/>
    </xf>
    <xf numFmtId="0" fontId="3" fillId="0" borderId="7" xfId="0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2" borderId="8" xfId="0" applyFill="1" applyBorder="1" applyAlignment="1">
      <alignment horizontal="right" vertical="center"/>
    </xf>
    <xf numFmtId="0" fontId="4" fillId="2" borderId="9" xfId="0" applyFont="1" applyFill="1" applyBorder="1" applyAlignment="1"/>
    <xf numFmtId="0" fontId="4" fillId="0" borderId="9" xfId="0" applyFont="1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4"/>
  <sheetViews>
    <sheetView tabSelected="1" workbookViewId="0">
      <selection activeCell="M12" sqref="M12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9.25" bestFit="1" customWidth="1"/>
    <col min="11" max="11" width="5.5" bestFit="1" customWidth="1"/>
    <col min="12" max="12" width="9.25" bestFit="1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2:18" ht="19.5" thickBot="1" x14ac:dyDescent="0.45">
      <c r="B1" t="s">
        <v>31</v>
      </c>
      <c r="C1" t="s">
        <v>52</v>
      </c>
    </row>
    <row r="2" spans="2:18" x14ac:dyDescent="0.35">
      <c r="B2" s="15" t="s">
        <v>21</v>
      </c>
      <c r="C2" s="16" t="s">
        <v>22</v>
      </c>
      <c r="D2" s="17" t="s">
        <v>24</v>
      </c>
      <c r="E2" s="17" t="s">
        <v>23</v>
      </c>
      <c r="F2" s="17" t="s">
        <v>25</v>
      </c>
      <c r="G2" s="17" t="s">
        <v>26</v>
      </c>
      <c r="H2" s="18" t="s">
        <v>41</v>
      </c>
      <c r="J2" s="10"/>
      <c r="K2" s="10"/>
      <c r="L2" s="10"/>
      <c r="M2" s="10"/>
    </row>
    <row r="3" spans="2:18" x14ac:dyDescent="0.4">
      <c r="B3" s="8" t="s">
        <v>2</v>
      </c>
      <c r="C3" s="3" t="s">
        <v>1</v>
      </c>
      <c r="D3" s="1" t="s">
        <v>32</v>
      </c>
      <c r="E3" s="1" t="s">
        <v>29</v>
      </c>
      <c r="F3" s="2">
        <v>0.5</v>
      </c>
      <c r="G3" s="4"/>
      <c r="H3" s="2" t="s">
        <v>51</v>
      </c>
      <c r="J3" s="24" t="s">
        <v>35</v>
      </c>
      <c r="K3" s="24" t="s">
        <v>48</v>
      </c>
      <c r="L3" s="24" t="s">
        <v>49</v>
      </c>
    </row>
    <row r="4" spans="2:18" x14ac:dyDescent="0.4">
      <c r="B4" s="8"/>
      <c r="C4" s="3" t="s">
        <v>6</v>
      </c>
      <c r="D4" s="1" t="s">
        <v>32</v>
      </c>
      <c r="E4" s="1" t="s">
        <v>29</v>
      </c>
      <c r="F4" s="2">
        <v>0.5</v>
      </c>
      <c r="G4" s="4"/>
      <c r="H4" s="20" t="s">
        <v>40</v>
      </c>
      <c r="J4" s="2" t="s">
        <v>50</v>
      </c>
      <c r="K4" s="2">
        <f>SUM(F3:F36)</f>
        <v>26.5</v>
      </c>
      <c r="L4" s="2"/>
    </row>
    <row r="5" spans="2:18" x14ac:dyDescent="0.4">
      <c r="B5" s="8"/>
      <c r="C5" s="3" t="s">
        <v>7</v>
      </c>
      <c r="D5" s="1" t="s">
        <v>32</v>
      </c>
      <c r="E5" s="1" t="s">
        <v>29</v>
      </c>
      <c r="F5" s="2">
        <v>0.5</v>
      </c>
      <c r="G5" s="4"/>
      <c r="H5" s="20" t="s">
        <v>40</v>
      </c>
      <c r="J5" s="21" t="s">
        <v>36</v>
      </c>
      <c r="K5" s="2">
        <f>SUMIF(E3:E36,"プロト",F3:F36)</f>
        <v>13.5</v>
      </c>
      <c r="L5" s="2">
        <f>SUMIF(E3:E36,"プロト",F3:F36)</f>
        <v>13.5</v>
      </c>
    </row>
    <row r="6" spans="2:18" x14ac:dyDescent="0.4">
      <c r="B6" s="8"/>
      <c r="C6" s="3" t="s">
        <v>53</v>
      </c>
      <c r="D6" s="37" t="s">
        <v>33</v>
      </c>
      <c r="E6" s="37" t="s">
        <v>29</v>
      </c>
      <c r="F6" s="38">
        <v>1</v>
      </c>
      <c r="G6" s="38"/>
      <c r="H6" s="37" t="s">
        <v>40</v>
      </c>
      <c r="J6" s="22" t="s">
        <v>37</v>
      </c>
      <c r="K6" s="2">
        <f>SUMIF(E3:E36,"アルファ",F3:F36)</f>
        <v>12</v>
      </c>
      <c r="L6" s="2">
        <f>SUMIF(E3:E36,"アルファ",F3:F36)</f>
        <v>12</v>
      </c>
    </row>
    <row r="7" spans="2:18" x14ac:dyDescent="0.4">
      <c r="B7" s="8" t="s">
        <v>8</v>
      </c>
      <c r="C7" s="3"/>
      <c r="D7" s="37"/>
      <c r="E7" s="37"/>
      <c r="F7" s="38"/>
      <c r="G7" s="38"/>
      <c r="H7" s="37"/>
      <c r="J7" s="23" t="s">
        <v>39</v>
      </c>
      <c r="K7" s="2">
        <f>SUMIF(E3:E36,"ベータ",F3:F36)</f>
        <v>1</v>
      </c>
      <c r="L7" s="2">
        <f>SUMIF(E3:E36,"ベータ",F3:F36)</f>
        <v>1</v>
      </c>
    </row>
    <row r="8" spans="2:18" x14ac:dyDescent="0.4">
      <c r="B8" s="8"/>
      <c r="C8" s="3" t="s">
        <v>1</v>
      </c>
      <c r="D8" s="1" t="s">
        <v>32</v>
      </c>
      <c r="E8" s="1" t="s">
        <v>29</v>
      </c>
      <c r="F8" s="2">
        <v>0.5</v>
      </c>
      <c r="G8" s="2"/>
      <c r="H8" s="20" t="s">
        <v>40</v>
      </c>
      <c r="J8" s="26" t="s">
        <v>40</v>
      </c>
      <c r="K8" s="2">
        <f>COUNTIF(H3:H36,J8)</f>
        <v>32</v>
      </c>
      <c r="L8" s="2">
        <f>COUNTIF(H3:H36,J8)</f>
        <v>32</v>
      </c>
    </row>
    <row r="9" spans="2:18" x14ac:dyDescent="0.4">
      <c r="B9" s="8"/>
      <c r="C9" s="3" t="s">
        <v>7</v>
      </c>
      <c r="D9" s="1" t="s">
        <v>32</v>
      </c>
      <c r="E9" s="1" t="s">
        <v>29</v>
      </c>
      <c r="F9" s="2">
        <v>0.5</v>
      </c>
      <c r="G9" s="4"/>
      <c r="H9" s="20" t="s">
        <v>40</v>
      </c>
      <c r="J9" s="25" t="s">
        <v>47</v>
      </c>
      <c r="K9" s="14">
        <f>COUNTIF(H3:H36,J9)</f>
        <v>0</v>
      </c>
      <c r="L9" s="14"/>
    </row>
    <row r="10" spans="2:18" x14ac:dyDescent="0.4">
      <c r="B10" s="8" t="s">
        <v>0</v>
      </c>
      <c r="C10" s="3"/>
      <c r="D10" s="1"/>
      <c r="E10" s="1"/>
      <c r="F10" s="4"/>
      <c r="G10" s="4"/>
      <c r="H10" s="20" t="s">
        <v>40</v>
      </c>
      <c r="I10" s="6"/>
      <c r="J10" s="13"/>
      <c r="K10" s="6"/>
      <c r="L10" s="6"/>
      <c r="M10" s="6"/>
      <c r="N10" s="6"/>
      <c r="O10" s="6"/>
    </row>
    <row r="11" spans="2:18" x14ac:dyDescent="0.4">
      <c r="B11" s="8" t="s">
        <v>9</v>
      </c>
      <c r="C11" s="3" t="s">
        <v>10</v>
      </c>
      <c r="D11" s="1" t="s">
        <v>32</v>
      </c>
      <c r="E11" s="1" t="s">
        <v>30</v>
      </c>
      <c r="F11" s="4">
        <v>1</v>
      </c>
      <c r="G11" s="4"/>
      <c r="H11" s="20" t="s">
        <v>40</v>
      </c>
      <c r="I11" s="6"/>
      <c r="J11" s="12"/>
      <c r="K11" s="6"/>
      <c r="L11" s="6"/>
      <c r="M11" s="6"/>
      <c r="N11" s="6"/>
    </row>
    <row r="12" spans="2:18" x14ac:dyDescent="0.4">
      <c r="B12" s="8"/>
      <c r="C12" s="3" t="s">
        <v>6</v>
      </c>
      <c r="D12" s="1" t="s">
        <v>32</v>
      </c>
      <c r="E12" s="1" t="s">
        <v>30</v>
      </c>
      <c r="F12" s="4">
        <v>1</v>
      </c>
      <c r="G12" s="4"/>
      <c r="H12" s="29" t="s">
        <v>40</v>
      </c>
      <c r="I12" s="32"/>
      <c r="J12" s="28"/>
      <c r="K12" s="10"/>
      <c r="L12" s="10"/>
      <c r="M12" s="10"/>
      <c r="N12" s="6"/>
      <c r="O12" s="10"/>
      <c r="P12" s="10"/>
      <c r="Q12" s="10"/>
      <c r="R12" s="10"/>
    </row>
    <row r="13" spans="2:18" x14ac:dyDescent="0.4">
      <c r="B13" s="8"/>
      <c r="C13" s="3" t="s">
        <v>1</v>
      </c>
      <c r="D13" s="1" t="s">
        <v>32</v>
      </c>
      <c r="E13" s="1" t="s">
        <v>30</v>
      </c>
      <c r="F13" s="4">
        <v>1</v>
      </c>
      <c r="G13" s="31"/>
      <c r="H13" s="34" t="s">
        <v>40</v>
      </c>
      <c r="I13" s="32"/>
      <c r="J13" s="11"/>
      <c r="K13" s="27"/>
      <c r="L13" s="6"/>
      <c r="M13" s="6"/>
      <c r="N13" s="6"/>
      <c r="O13" s="11"/>
      <c r="P13" s="6"/>
      <c r="Q13" s="6"/>
      <c r="R13" s="6"/>
    </row>
    <row r="14" spans="2:18" x14ac:dyDescent="0.4">
      <c r="B14" s="8"/>
      <c r="C14" s="3" t="s">
        <v>7</v>
      </c>
      <c r="D14" s="1" t="s">
        <v>32</v>
      </c>
      <c r="E14" s="1" t="s">
        <v>30</v>
      </c>
      <c r="F14" s="4">
        <v>1</v>
      </c>
      <c r="G14" s="31"/>
      <c r="H14" s="36" t="s">
        <v>40</v>
      </c>
      <c r="I14" s="32"/>
      <c r="J14" s="11"/>
      <c r="K14" s="6"/>
      <c r="L14" s="6"/>
      <c r="M14" s="6"/>
      <c r="N14" s="6"/>
      <c r="O14" s="11"/>
      <c r="P14" s="6"/>
      <c r="Q14" s="6"/>
      <c r="R14" s="6"/>
    </row>
    <row r="15" spans="2:18" x14ac:dyDescent="0.4">
      <c r="B15" s="8"/>
      <c r="C15" s="3" t="s">
        <v>16</v>
      </c>
      <c r="D15" s="1" t="s">
        <v>32</v>
      </c>
      <c r="E15" s="1" t="s">
        <v>30</v>
      </c>
      <c r="F15" s="4">
        <v>1</v>
      </c>
      <c r="G15" s="31"/>
      <c r="H15" s="35" t="s">
        <v>40</v>
      </c>
      <c r="I15" s="32"/>
      <c r="J15" s="11"/>
      <c r="K15" s="6"/>
      <c r="L15" s="6"/>
      <c r="M15" s="6"/>
      <c r="N15" s="6"/>
      <c r="O15" s="11"/>
      <c r="P15" s="6"/>
      <c r="Q15" s="6"/>
      <c r="R15" s="6"/>
    </row>
    <row r="16" spans="2:18" x14ac:dyDescent="0.4">
      <c r="B16" s="8" t="s">
        <v>11</v>
      </c>
      <c r="C16" s="3" t="s">
        <v>10</v>
      </c>
      <c r="D16" s="1" t="s">
        <v>32</v>
      </c>
      <c r="E16" s="1" t="s">
        <v>30</v>
      </c>
      <c r="F16" s="4">
        <v>1</v>
      </c>
      <c r="G16" s="31"/>
      <c r="H16" s="35" t="s">
        <v>40</v>
      </c>
      <c r="I16" s="32"/>
      <c r="J16" s="11"/>
      <c r="K16" s="6"/>
      <c r="L16" s="6"/>
      <c r="M16" s="6"/>
      <c r="N16" s="6"/>
      <c r="O16" s="11"/>
      <c r="P16" s="6"/>
      <c r="Q16" s="6"/>
      <c r="R16" s="6"/>
    </row>
    <row r="17" spans="2:18" x14ac:dyDescent="0.35">
      <c r="B17" s="7"/>
      <c r="C17" s="3" t="s">
        <v>7</v>
      </c>
      <c r="D17" s="1" t="s">
        <v>32</v>
      </c>
      <c r="E17" s="1" t="s">
        <v>30</v>
      </c>
      <c r="F17" s="4">
        <v>1</v>
      </c>
      <c r="G17" s="31"/>
      <c r="H17" s="35" t="s">
        <v>40</v>
      </c>
      <c r="I17" s="33"/>
      <c r="J17" s="11"/>
      <c r="K17" s="6"/>
      <c r="L17" s="6"/>
      <c r="M17" s="6"/>
      <c r="N17" s="6"/>
      <c r="O17" s="11"/>
      <c r="P17" s="6"/>
      <c r="Q17" s="6"/>
      <c r="R17" s="6"/>
    </row>
    <row r="18" spans="2:18" x14ac:dyDescent="0.4">
      <c r="B18" s="7" t="s">
        <v>18</v>
      </c>
      <c r="C18" s="3"/>
      <c r="D18" s="1"/>
      <c r="E18" s="1"/>
      <c r="F18" s="2"/>
      <c r="G18" s="30"/>
      <c r="H18" s="35" t="s">
        <v>40</v>
      </c>
      <c r="I18" s="6"/>
      <c r="J18" s="10"/>
      <c r="K18" s="10"/>
      <c r="L18" s="10"/>
      <c r="M18" s="10"/>
      <c r="N18" s="6"/>
      <c r="O18" s="10"/>
      <c r="P18" s="10"/>
      <c r="Q18" s="10"/>
      <c r="R18" s="10"/>
    </row>
    <row r="19" spans="2:18" x14ac:dyDescent="0.4">
      <c r="B19" s="7"/>
      <c r="C19" s="3" t="s">
        <v>3</v>
      </c>
      <c r="D19" s="1" t="s">
        <v>33</v>
      </c>
      <c r="E19" s="1" t="s">
        <v>30</v>
      </c>
      <c r="F19" s="9">
        <v>1</v>
      </c>
      <c r="G19" s="2"/>
      <c r="H19" s="20" t="s">
        <v>40</v>
      </c>
      <c r="I19" s="6"/>
      <c r="J19" s="10"/>
      <c r="K19" s="10"/>
      <c r="L19" s="10"/>
      <c r="M19" s="10"/>
      <c r="N19" s="6"/>
      <c r="O19" s="10"/>
      <c r="P19" s="10"/>
      <c r="Q19" s="10"/>
      <c r="R19" s="10"/>
    </row>
    <row r="20" spans="2:18" x14ac:dyDescent="0.35">
      <c r="B20" s="7"/>
      <c r="C20" s="3" t="s">
        <v>4</v>
      </c>
      <c r="D20" s="1" t="s">
        <v>33</v>
      </c>
      <c r="E20" s="1" t="s">
        <v>30</v>
      </c>
      <c r="F20" s="9">
        <v>1</v>
      </c>
      <c r="G20" s="2"/>
      <c r="H20" s="20" t="s">
        <v>40</v>
      </c>
      <c r="I20" s="6"/>
      <c r="J20" s="11"/>
      <c r="K20" s="6"/>
      <c r="L20" s="6"/>
      <c r="M20" s="6"/>
      <c r="N20" s="6"/>
      <c r="O20" s="11"/>
      <c r="P20" s="6"/>
      <c r="Q20" s="6"/>
      <c r="R20" s="6"/>
    </row>
    <row r="21" spans="2:18" x14ac:dyDescent="0.35">
      <c r="B21" s="7" t="s">
        <v>5</v>
      </c>
      <c r="C21" s="3"/>
      <c r="D21" s="1"/>
      <c r="E21" s="1"/>
      <c r="F21" s="2"/>
      <c r="G21" s="2"/>
      <c r="H21" s="20" t="s">
        <v>40</v>
      </c>
      <c r="I21" s="6"/>
      <c r="J21" s="11"/>
      <c r="K21" s="6"/>
      <c r="L21" s="6"/>
      <c r="M21" s="6"/>
      <c r="N21" s="6"/>
      <c r="O21" s="11"/>
      <c r="P21" s="6"/>
      <c r="Q21" s="6"/>
      <c r="R21" s="6"/>
    </row>
    <row r="22" spans="2:18" x14ac:dyDescent="0.35">
      <c r="B22" s="7"/>
      <c r="C22" s="3" t="s">
        <v>12</v>
      </c>
      <c r="D22" s="1" t="s">
        <v>32</v>
      </c>
      <c r="E22" s="1" t="s">
        <v>30</v>
      </c>
      <c r="F22" s="9">
        <v>1</v>
      </c>
      <c r="G22" s="2"/>
      <c r="H22" s="20" t="s">
        <v>40</v>
      </c>
      <c r="J22" s="11"/>
      <c r="K22" s="6"/>
      <c r="L22" s="6"/>
      <c r="M22" s="6"/>
      <c r="O22" s="11"/>
      <c r="P22" s="6"/>
      <c r="Q22" s="6"/>
      <c r="R22" s="6"/>
    </row>
    <row r="23" spans="2:18" x14ac:dyDescent="0.35">
      <c r="B23" s="7"/>
      <c r="C23" s="3" t="s">
        <v>13</v>
      </c>
      <c r="D23" s="1" t="s">
        <v>32</v>
      </c>
      <c r="E23" s="1" t="s">
        <v>29</v>
      </c>
      <c r="F23" s="9">
        <v>1</v>
      </c>
      <c r="G23" s="2"/>
      <c r="H23" s="20" t="s">
        <v>40</v>
      </c>
      <c r="J23" s="11"/>
      <c r="K23" s="6"/>
      <c r="L23" s="6"/>
      <c r="M23" s="6"/>
      <c r="O23" s="11"/>
      <c r="P23" s="6"/>
      <c r="Q23" s="6"/>
      <c r="R23" s="6"/>
    </row>
    <row r="24" spans="2:18" x14ac:dyDescent="0.35">
      <c r="B24" s="7" t="s">
        <v>17</v>
      </c>
      <c r="C24" s="3"/>
      <c r="D24" s="1"/>
      <c r="E24" s="1"/>
      <c r="F24" s="2"/>
      <c r="G24" s="2"/>
      <c r="H24" s="20" t="s">
        <v>40</v>
      </c>
      <c r="J24" s="11"/>
      <c r="K24" s="6"/>
      <c r="L24" s="6"/>
      <c r="M24" s="6"/>
      <c r="O24" s="11"/>
      <c r="P24" s="6"/>
      <c r="Q24" s="6"/>
      <c r="R24" s="6"/>
    </row>
    <row r="25" spans="2:18" x14ac:dyDescent="0.35">
      <c r="B25" s="7"/>
      <c r="C25" s="3" t="s">
        <v>15</v>
      </c>
      <c r="D25" s="1" t="s">
        <v>32</v>
      </c>
      <c r="E25" s="1" t="s">
        <v>29</v>
      </c>
      <c r="F25" s="9">
        <v>1</v>
      </c>
      <c r="G25" s="2"/>
      <c r="H25" s="20" t="s">
        <v>40</v>
      </c>
      <c r="J25" s="11"/>
      <c r="K25" s="6"/>
      <c r="L25" s="6"/>
      <c r="M25" s="6"/>
      <c r="O25" s="11"/>
      <c r="P25" s="6"/>
      <c r="Q25" s="6"/>
      <c r="R25" s="6"/>
    </row>
    <row r="26" spans="2:18" x14ac:dyDescent="0.35">
      <c r="B26" s="7"/>
      <c r="C26" s="3" t="s">
        <v>27</v>
      </c>
      <c r="D26" s="1" t="s">
        <v>32</v>
      </c>
      <c r="E26" s="1" t="s">
        <v>29</v>
      </c>
      <c r="F26" s="9">
        <v>1</v>
      </c>
      <c r="G26" s="2"/>
      <c r="H26" s="20" t="s">
        <v>40</v>
      </c>
      <c r="J26" s="11"/>
      <c r="K26" s="6"/>
      <c r="L26" s="6"/>
      <c r="M26" s="6"/>
      <c r="O26" s="11"/>
      <c r="P26" s="6"/>
      <c r="Q26" s="6"/>
      <c r="R26" s="6"/>
    </row>
    <row r="27" spans="2:18" x14ac:dyDescent="0.35">
      <c r="B27" s="7"/>
      <c r="C27" s="3" t="s">
        <v>28</v>
      </c>
      <c r="D27" s="1" t="s">
        <v>32</v>
      </c>
      <c r="E27" s="1" t="s">
        <v>29</v>
      </c>
      <c r="F27" s="9">
        <v>1</v>
      </c>
      <c r="G27" s="2"/>
      <c r="H27" s="20" t="s">
        <v>40</v>
      </c>
      <c r="J27" s="11"/>
      <c r="K27" s="6"/>
      <c r="L27" s="6"/>
      <c r="M27" s="6"/>
      <c r="O27" s="11"/>
      <c r="P27" s="6"/>
      <c r="Q27" s="6"/>
      <c r="R27" s="6"/>
    </row>
    <row r="28" spans="2:18" x14ac:dyDescent="0.4">
      <c r="B28" s="7" t="s">
        <v>14</v>
      </c>
      <c r="C28" s="3"/>
      <c r="D28" s="1"/>
      <c r="E28" s="1"/>
      <c r="F28" s="2"/>
      <c r="G28" s="2"/>
      <c r="H28" s="20" t="s">
        <v>40</v>
      </c>
    </row>
    <row r="29" spans="2:18" x14ac:dyDescent="0.4">
      <c r="B29" s="7"/>
      <c r="C29" s="3" t="s">
        <v>1</v>
      </c>
      <c r="D29" s="1" t="s">
        <v>32</v>
      </c>
      <c r="E29" s="1" t="s">
        <v>29</v>
      </c>
      <c r="F29" s="2">
        <v>2</v>
      </c>
      <c r="G29" s="2"/>
      <c r="H29" s="20" t="s">
        <v>40</v>
      </c>
    </row>
    <row r="30" spans="2:18" x14ac:dyDescent="0.4">
      <c r="B30" s="7"/>
      <c r="C30" s="3" t="s">
        <v>19</v>
      </c>
      <c r="D30" s="1" t="s">
        <v>32</v>
      </c>
      <c r="E30" s="1" t="s">
        <v>29</v>
      </c>
      <c r="F30" s="2">
        <v>2</v>
      </c>
      <c r="G30" s="2"/>
      <c r="H30" s="20" t="s">
        <v>40</v>
      </c>
    </row>
    <row r="31" spans="2:18" x14ac:dyDescent="0.4">
      <c r="B31" s="7"/>
      <c r="C31" s="3" t="s">
        <v>20</v>
      </c>
      <c r="D31" s="1" t="s">
        <v>32</v>
      </c>
      <c r="E31" s="1" t="s">
        <v>29</v>
      </c>
      <c r="F31" s="2">
        <v>2</v>
      </c>
      <c r="G31" s="2"/>
      <c r="H31" s="20" t="s">
        <v>40</v>
      </c>
    </row>
    <row r="32" spans="2:18" x14ac:dyDescent="0.4">
      <c r="B32" s="7" t="s">
        <v>44</v>
      </c>
      <c r="C32" s="3"/>
      <c r="D32" s="1"/>
      <c r="E32" s="1"/>
      <c r="F32" s="2"/>
      <c r="G32" s="2"/>
      <c r="H32" s="20" t="s">
        <v>40</v>
      </c>
    </row>
    <row r="33" spans="2:11" x14ac:dyDescent="0.4">
      <c r="B33" s="7"/>
      <c r="C33" s="3" t="s">
        <v>45</v>
      </c>
      <c r="D33" s="1" t="s">
        <v>34</v>
      </c>
      <c r="E33" s="1" t="s">
        <v>30</v>
      </c>
      <c r="F33" s="2">
        <v>1</v>
      </c>
      <c r="G33" s="2"/>
      <c r="H33" s="20" t="s">
        <v>40</v>
      </c>
    </row>
    <row r="34" spans="2:11" x14ac:dyDescent="0.4">
      <c r="B34" s="7"/>
      <c r="C34" s="3" t="s">
        <v>42</v>
      </c>
      <c r="D34" s="1" t="s">
        <v>34</v>
      </c>
      <c r="E34" s="1" t="s">
        <v>30</v>
      </c>
      <c r="F34" s="2">
        <v>0.5</v>
      </c>
      <c r="G34" s="2"/>
      <c r="H34" s="20" t="s">
        <v>40</v>
      </c>
    </row>
    <row r="35" spans="2:11" x14ac:dyDescent="0.4">
      <c r="B35" s="7"/>
      <c r="C35" s="3" t="s">
        <v>43</v>
      </c>
      <c r="D35" s="1" t="s">
        <v>34</v>
      </c>
      <c r="E35" s="1" t="s">
        <v>30</v>
      </c>
      <c r="F35" s="2">
        <v>0.5</v>
      </c>
      <c r="G35" s="2"/>
      <c r="H35" s="20" t="s">
        <v>40</v>
      </c>
      <c r="K35" s="5"/>
    </row>
    <row r="36" spans="2:11" x14ac:dyDescent="0.4">
      <c r="B36" s="7"/>
      <c r="C36" s="3" t="s">
        <v>46</v>
      </c>
      <c r="D36" s="1" t="s">
        <v>34</v>
      </c>
      <c r="E36" s="1" t="s">
        <v>38</v>
      </c>
      <c r="F36" s="2">
        <v>1</v>
      </c>
      <c r="G36" s="2"/>
      <c r="H36" s="20" t="s">
        <v>40</v>
      </c>
    </row>
    <row r="37" spans="2:11" x14ac:dyDescent="0.4">
      <c r="D37" s="19"/>
      <c r="E37" s="19"/>
    </row>
    <row r="38" spans="2:11" x14ac:dyDescent="0.4">
      <c r="D38" s="19"/>
      <c r="E38" s="19"/>
    </row>
    <row r="39" spans="2:11" x14ac:dyDescent="0.4">
      <c r="D39" s="19"/>
      <c r="E39" s="19"/>
    </row>
    <row r="40" spans="2:11" x14ac:dyDescent="0.4">
      <c r="D40" s="19"/>
      <c r="E40" s="19"/>
    </row>
    <row r="41" spans="2:11" x14ac:dyDescent="0.4">
      <c r="D41" s="19"/>
      <c r="E41" s="19"/>
    </row>
    <row r="42" spans="2:11" x14ac:dyDescent="0.4">
      <c r="D42" s="19"/>
      <c r="E42" s="19"/>
    </row>
    <row r="43" spans="2:11" x14ac:dyDescent="0.4">
      <c r="D43" s="19"/>
      <c r="E43" s="19"/>
    </row>
    <row r="44" spans="2:11" x14ac:dyDescent="0.4">
      <c r="D44" s="19"/>
      <c r="E44" s="19"/>
    </row>
    <row r="45" spans="2:11" x14ac:dyDescent="0.4">
      <c r="D45" s="19"/>
      <c r="E45" s="19"/>
    </row>
    <row r="46" spans="2:11" x14ac:dyDescent="0.4">
      <c r="D46" s="19"/>
      <c r="E46" s="19"/>
    </row>
    <row r="47" spans="2:11" x14ac:dyDescent="0.4">
      <c r="D47" s="19"/>
      <c r="E47" s="19"/>
    </row>
    <row r="48" spans="2:11" x14ac:dyDescent="0.4">
      <c r="D48" s="19"/>
      <c r="E48" s="19"/>
    </row>
    <row r="49" spans="4:5" x14ac:dyDescent="0.4">
      <c r="D49" s="19"/>
      <c r="E49" s="19"/>
    </row>
    <row r="50" spans="4:5" x14ac:dyDescent="0.4">
      <c r="D50" s="19"/>
      <c r="E50" s="19"/>
    </row>
    <row r="51" spans="4:5" x14ac:dyDescent="0.4">
      <c r="D51" s="19"/>
      <c r="E51" s="19"/>
    </row>
    <row r="52" spans="4:5" x14ac:dyDescent="0.4">
      <c r="D52" s="19"/>
      <c r="E52" s="19"/>
    </row>
    <row r="53" spans="4:5" x14ac:dyDescent="0.4">
      <c r="D53" s="19"/>
      <c r="E53" s="19"/>
    </row>
    <row r="54" spans="4:5" x14ac:dyDescent="0.4">
      <c r="D54" s="19"/>
      <c r="E54" s="19"/>
    </row>
    <row r="55" spans="4:5" x14ac:dyDescent="0.4">
      <c r="D55" s="19"/>
      <c r="E55" s="19"/>
    </row>
    <row r="56" spans="4:5" x14ac:dyDescent="0.4">
      <c r="D56" s="19"/>
      <c r="E56" s="19"/>
    </row>
    <row r="57" spans="4:5" x14ac:dyDescent="0.4">
      <c r="D57" s="19"/>
      <c r="E57" s="19"/>
    </row>
    <row r="58" spans="4:5" x14ac:dyDescent="0.4">
      <c r="D58" s="19"/>
      <c r="E58" s="19"/>
    </row>
    <row r="59" spans="4:5" x14ac:dyDescent="0.4">
      <c r="D59" s="19"/>
      <c r="E59" s="19"/>
    </row>
    <row r="60" spans="4:5" x14ac:dyDescent="0.4">
      <c r="D60" s="19"/>
      <c r="E60" s="19"/>
    </row>
    <row r="61" spans="4:5" x14ac:dyDescent="0.4">
      <c r="D61" s="19"/>
      <c r="E61" s="19"/>
    </row>
    <row r="62" spans="4:5" x14ac:dyDescent="0.4">
      <c r="D62" s="19"/>
      <c r="E62" s="19"/>
    </row>
    <row r="63" spans="4:5" x14ac:dyDescent="0.4">
      <c r="D63" s="19"/>
      <c r="E63" s="19"/>
    </row>
    <row r="64" spans="4:5" x14ac:dyDescent="0.4">
      <c r="D64" s="19"/>
      <c r="E64" s="19"/>
    </row>
  </sheetData>
  <phoneticPr fontId="2"/>
  <dataValidations count="2">
    <dataValidation type="list" allowBlank="1" showInputMessage="1" showErrorMessage="1" sqref="D3:D64" xr:uid="{D99FF9D9-52C2-47CC-BC93-4ACF23B2DA2A}">
      <formula1>"S,A,B,C"</formula1>
    </dataValidation>
    <dataValidation type="list" allowBlank="1" showInputMessage="1" showErrorMessage="1" sqref="E3:E64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2026-03-17T01:40:38Z</dcterms:modified>
</cp:coreProperties>
</file>