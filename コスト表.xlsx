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"/>
    </mc:Choice>
  </mc:AlternateContent>
  <xr:revisionPtr revIDLastSave="0" documentId="13_ncr:1_{11BD28AD-12C8-4523-8AE4-47551FBA7731}" xr6:coauthVersionLast="47" xr6:coauthVersionMax="47" xr10:uidLastSave="{00000000-0000-0000-0000-000000000000}"/>
  <bookViews>
    <workbookView xWindow="2115" yWindow="975" windowWidth="24510" windowHeight="1353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13" i="1" s="1"/>
  <c r="K9" i="1"/>
  <c r="K8" i="1"/>
  <c r="K7" i="1"/>
  <c r="K6" i="1"/>
  <c r="K5" i="1"/>
</calcChain>
</file>

<file path=xl/sharedStrings.xml><?xml version="1.0" encoding="utf-8"?>
<sst xmlns="http://schemas.openxmlformats.org/spreadsheetml/2006/main" count="154" uniqueCount="66">
  <si>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</si>
  <si>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</si>
  <si>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</si>
  <si>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</si>
  <si>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</si>
  <si>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</si>
  <si>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</si>
  <si>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</si>
  <si>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</si>
  <si>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</si>
  <si>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</si>
  <si>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</si>
  <si>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</si>
  <si>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</si>
  <si>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</si>
  <si>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</si>
  <si>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</si>
  <si>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</si>
  <si>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</si>
  <si>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</si>
  <si>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</si>
  <si>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</si>
  <si>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</si>
  <si>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</si>
  <si>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</si>
  <si>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</si>
  <si>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</si>
  <si>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</si>
  <si>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</si>
  <si>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</si>
  <si>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</si>
  <si>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</si>
  <si>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</si>
  <si>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</si>
  <si>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</si>
  <si>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</si>
  <si>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</si>
  <si>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</si>
  <si>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</si>
  <si>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</si>
  <si>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</si>
  <si>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</si>
  <si>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</si>
  <si>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</si>
  <si>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</si>
  <si>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</si>
  <si>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</si>
  <si>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</si>
  <si>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</si>
  <si>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</si>
  <si>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</si>
  <si>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</si>
  <si>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</si>
  <si>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</si>
  <si>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</si>
  <si>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</si>
  <si>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</si>
  <si>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</si>
  <si>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</si>
  <si>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</si>
  <si>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</si>
  <si>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</si>
  <si>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</si>
  <si>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</si>
  <si>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作業中</t>
    <rPh sb="0" eb="3">
      <t>サギョウチュウ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</si>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</sst>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2" borderId="6" xfId="0" applyFill="1" applyBorder="1" applyAlignment="1">
      <alignment horizontal="right" vertical="center"/>
    </xf>
    <xf numFmtId="0" fontId="4" fillId="2" borderId="7" xfId="0" applyFont="1" applyFill="1" applyBorder="1" applyAlignment="1"/>
    <xf numFmtId="0" fontId="4" fillId="0" borderId="7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>
      <alignment vertical="center"/>
    </xf>
    <xf numFmtId="0" fontId="4" fillId="0" borderId="13" xfId="0" applyFont="1" applyBorder="1">
      <alignment vertical="center"/>
    </xf>
    <xf numFmtId="0" fontId="4" fillId="0" borderId="12" xfId="0" applyFont="1" applyBorder="1" applyAlignment="1"/>
    <xf numFmtId="0" fontId="4" fillId="0" borderId="15" xfId="0" applyFont="1" applyBorder="1">
      <alignment vertical="center"/>
    </xf>
    <xf numFmtId="0" fontId="4" fillId="0" borderId="15" xfId="0" applyFont="1" applyBorder="1" applyAlignment="1"/>
    <xf numFmtId="0" fontId="4" fillId="0" borderId="16" xfId="0" applyFont="1" applyBorder="1">
      <alignment vertical="center"/>
    </xf>
    <xf numFmtId="0" fontId="0" fillId="0" borderId="11" xfId="0" applyBorder="1">
      <alignment vertical="center"/>
    </xf>
    <xf numFmtId="0" fontId="4" fillId="0" borderId="17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4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3" xfId="0" applyFont="1" applyFill="1" applyBorder="1">
      <alignment vertical="center"/>
    </xf>
    <xf numFmtId="0" fontId="4" fillId="10" borderId="12" xfId="0" applyFont="1" applyFill="1" applyBorder="1" applyAlignment="1"/>
    <xf numFmtId="0" fontId="4" fillId="9" borderId="14" xfId="0" applyFont="1" applyFill="1" applyBorder="1" applyAlignment="1"/>
    <xf numFmtId="0" fontId="4" fillId="9" borderId="15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5" xfId="0" applyFont="1" applyFill="1" applyBorder="1">
      <alignment vertical="center"/>
    </xf>
    <xf numFmtId="0" fontId="4" fillId="9" borderId="12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1" borderId="13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workbookViewId="0">
      <selection activeCell="K13" sqref="K13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16" ht="19.5" thickBot="1" x14ac:dyDescent="0.45">
      <c r="B1" t="s">
        <v>30</v>
      </c>
      <c r="C1" t="s">
        <v>50</v>
      </c>
    </row>
    <row r="2" spans="2:16" x14ac:dyDescent="0.35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4">
      <c r="B4" s="7"/>
      <c r="C4" s="3" t="s">
        <v>6</v>
      </c>
      <c r="D4" s="1" t="s">
        <v>31</v>
      </c>
      <c r="E4" s="1" t="s">
        <v>28</v>
      </c>
      <c r="F4" s="2">
        <v>0.5</v>
      </c>
      <c r="G4" s="4"/>
      <c r="H4" s="18" t="s">
        <v>39</v>
      </c>
      <c r="J4" s="2" t="s">
        <v>49</v>
      </c>
      <c r="K4" s="2">
        <f>COUNTA(H3:H35)</f>
        <v>32</v>
      </c>
      <c r="L4" s="68"/>
    </row>
    <row r="5" spans="2:16" x14ac:dyDescent="0.4">
      <c r="B5" s="7"/>
      <c r="C5" s="3" t="s">
        <v>7</v>
      </c>
      <c r="D5" s="1" t="s">
        <v>31</v>
      </c>
      <c r="E5" s="1" t="s">
        <v>28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12.5</v>
      </c>
      <c r="L5" s="2">
        <f>SUMIFS(F:F, E:E, "プロト", H:H, "未完了")</f>
        <v>6</v>
      </c>
    </row>
    <row r="6" spans="2:16" x14ac:dyDescent="0.4">
      <c r="B6" s="7"/>
      <c r="C6" s="3" t="s">
        <v>51</v>
      </c>
      <c r="D6" s="18" t="s">
        <v>32</v>
      </c>
      <c r="E6" s="18" t="s">
        <v>28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10</v>
      </c>
      <c r="L6" s="2">
        <f>SUMIFS(F:F, E:E, "アルファ", H:H, "未完了")</f>
        <v>10</v>
      </c>
    </row>
    <row r="7" spans="2:16" x14ac:dyDescent="0.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28</v>
      </c>
      <c r="L8" s="2">
        <f>COUNTIF(H:H, "未完了")</f>
        <v>28</v>
      </c>
    </row>
    <row r="9" spans="2:16" x14ac:dyDescent="0.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3</v>
      </c>
      <c r="L9" s="69"/>
    </row>
    <row r="10" spans="2:16" x14ac:dyDescent="0.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65</v>
      </c>
      <c r="K11">
        <f>SUM(F3:F35)</f>
        <v>23.5</v>
      </c>
      <c r="M11" s="5"/>
    </row>
    <row r="12" spans="2:16" x14ac:dyDescent="0.4">
      <c r="B12" s="7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5" t="s">
        <v>39</v>
      </c>
      <c r="I12" s="28"/>
      <c r="J12" t="s">
        <v>53</v>
      </c>
      <c r="K12" s="5">
        <f ca="1">DATE(2026,4,17)-TODAY()</f>
        <v>30</v>
      </c>
      <c r="L12" s="9"/>
      <c r="M12" s="9"/>
    </row>
    <row r="13" spans="2:16" x14ac:dyDescent="0.4">
      <c r="B13" s="7"/>
      <c r="C13" s="3" t="s">
        <v>1</v>
      </c>
      <c r="D13" s="1" t="s">
        <v>31</v>
      </c>
      <c r="E13" s="1" t="s">
        <v>29</v>
      </c>
      <c r="F13" s="4">
        <v>0.5</v>
      </c>
      <c r="G13" s="27"/>
      <c r="H13" s="30" t="s">
        <v>39</v>
      </c>
      <c r="I13" s="28"/>
      <c r="J13" s="67" t="s">
        <v>52</v>
      </c>
      <c r="K13" s="5">
        <f ca="1">K11/K12</f>
        <v>0.78333333333333333</v>
      </c>
      <c r="L13" s="5"/>
      <c r="M13" s="5"/>
    </row>
    <row r="14" spans="2:16" ht="19.5" thickBot="1" x14ac:dyDescent="0.45">
      <c r="B14" s="7"/>
      <c r="C14" s="3" t="s">
        <v>7</v>
      </c>
      <c r="D14" s="1" t="s">
        <v>31</v>
      </c>
      <c r="E14" s="1" t="s">
        <v>29</v>
      </c>
      <c r="F14" s="4">
        <v>0.5</v>
      </c>
      <c r="G14" s="27"/>
      <c r="H14" s="32" t="s">
        <v>39</v>
      </c>
      <c r="I14" s="28"/>
      <c r="J14" s="10"/>
      <c r="K14" s="5"/>
      <c r="L14" s="5"/>
    </row>
    <row r="15" spans="2:16" ht="19.5" thickBot="1" x14ac:dyDescent="0.45">
      <c r="B15" s="7"/>
      <c r="C15" s="3" t="s">
        <v>16</v>
      </c>
      <c r="D15" s="1" t="s">
        <v>31</v>
      </c>
      <c r="E15" s="1" t="s">
        <v>29</v>
      </c>
      <c r="F15" s="4">
        <v>1</v>
      </c>
      <c r="G15" s="27"/>
      <c r="H15" s="31" t="s">
        <v>39</v>
      </c>
      <c r="I15" s="28"/>
      <c r="J15" s="44" t="s">
        <v>54</v>
      </c>
      <c r="M15" s="5"/>
      <c r="N15" s="5"/>
      <c r="O15" s="10"/>
      <c r="P15" s="5"/>
    </row>
    <row r="16" spans="2:16" x14ac:dyDescent="0.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7"/>
      <c r="H16" s="31" t="s">
        <v>39</v>
      </c>
      <c r="I16" s="28"/>
      <c r="J16" s="34" t="s">
        <v>55</v>
      </c>
      <c r="K16" s="35" t="s">
        <v>56</v>
      </c>
      <c r="L16" s="35" t="s">
        <v>57</v>
      </c>
      <c r="M16" s="35" t="s">
        <v>58</v>
      </c>
      <c r="N16" s="35" t="s">
        <v>59</v>
      </c>
      <c r="O16" s="36" t="s">
        <v>60</v>
      </c>
      <c r="P16" s="37" t="s">
        <v>61</v>
      </c>
    </row>
    <row r="17" spans="2:18" x14ac:dyDescent="0.4">
      <c r="B17" s="6"/>
      <c r="C17" s="3" t="s">
        <v>7</v>
      </c>
      <c r="D17" s="1" t="s">
        <v>31</v>
      </c>
      <c r="E17" s="1" t="s">
        <v>29</v>
      </c>
      <c r="F17" s="4">
        <v>1</v>
      </c>
      <c r="G17" s="27"/>
      <c r="H17" s="31" t="s">
        <v>39</v>
      </c>
      <c r="I17" s="29"/>
      <c r="J17" s="38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9">
        <v>7</v>
      </c>
    </row>
    <row r="18" spans="2:18" x14ac:dyDescent="0.4">
      <c r="B18" s="6" t="s">
        <v>18</v>
      </c>
      <c r="C18" s="3"/>
      <c r="D18" s="1"/>
      <c r="E18" s="1"/>
      <c r="F18" s="2"/>
      <c r="G18" s="26"/>
      <c r="H18" s="31" t="s">
        <v>39</v>
      </c>
      <c r="I18" s="5"/>
      <c r="J18" s="38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9">
        <v>14</v>
      </c>
    </row>
    <row r="19" spans="2:18" x14ac:dyDescent="0.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40">
        <v>15</v>
      </c>
      <c r="K19" s="12">
        <v>16</v>
      </c>
      <c r="L19" s="49">
        <v>17</v>
      </c>
      <c r="M19" s="49">
        <v>18</v>
      </c>
      <c r="N19" s="49">
        <v>19</v>
      </c>
      <c r="O19" s="50">
        <v>20</v>
      </c>
      <c r="P19" s="51">
        <v>21</v>
      </c>
    </row>
    <row r="20" spans="2:18" x14ac:dyDescent="0.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52">
        <v>22</v>
      </c>
      <c r="K20" s="49">
        <v>23</v>
      </c>
      <c r="L20" s="49">
        <v>24</v>
      </c>
      <c r="M20" s="49">
        <v>25</v>
      </c>
      <c r="N20" s="49">
        <v>26</v>
      </c>
      <c r="O20" s="50">
        <v>27</v>
      </c>
      <c r="P20" s="51">
        <v>28</v>
      </c>
    </row>
    <row r="21" spans="2:18" ht="19.5" thickBot="1" x14ac:dyDescent="0.45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3">
        <v>29</v>
      </c>
      <c r="K21" s="54">
        <v>30</v>
      </c>
      <c r="L21" s="54">
        <v>31</v>
      </c>
      <c r="M21" s="41"/>
      <c r="N21" s="41"/>
      <c r="O21" s="42"/>
      <c r="P21" s="43"/>
    </row>
    <row r="22" spans="2:18" ht="19.5" thickBot="1" x14ac:dyDescent="0.45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9.5" thickBot="1" x14ac:dyDescent="0.45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5" t="s">
        <v>62</v>
      </c>
      <c r="Q23" s="5"/>
      <c r="R23" s="5"/>
    </row>
    <row r="24" spans="2:18" x14ac:dyDescent="0.4">
      <c r="B24" s="6" t="s">
        <v>17</v>
      </c>
      <c r="C24" s="3"/>
      <c r="D24" s="1"/>
      <c r="E24" s="1"/>
      <c r="F24" s="2"/>
      <c r="G24" s="2"/>
      <c r="H24" s="18" t="s">
        <v>39</v>
      </c>
      <c r="J24" s="46"/>
      <c r="K24" s="48"/>
      <c r="L24" s="48"/>
      <c r="M24" s="55">
        <v>1</v>
      </c>
      <c r="N24" s="55">
        <v>2</v>
      </c>
      <c r="O24" s="55">
        <v>3</v>
      </c>
      <c r="P24" s="56">
        <v>4</v>
      </c>
      <c r="Q24" s="5"/>
      <c r="R24" s="5"/>
    </row>
    <row r="25" spans="2:18" x14ac:dyDescent="0.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/>
      <c r="H25" s="18" t="s">
        <v>39</v>
      </c>
      <c r="J25" s="57">
        <v>5</v>
      </c>
      <c r="K25" s="58">
        <v>6</v>
      </c>
      <c r="L25" s="59">
        <v>7</v>
      </c>
      <c r="M25" s="60">
        <v>8</v>
      </c>
      <c r="N25" s="60">
        <v>9</v>
      </c>
      <c r="O25" s="60">
        <v>10</v>
      </c>
      <c r="P25" s="61">
        <v>11</v>
      </c>
      <c r="Q25" s="5"/>
      <c r="R25" s="5"/>
    </row>
    <row r="26" spans="2:18" x14ac:dyDescent="0.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/>
      <c r="H26" s="18" t="s">
        <v>39</v>
      </c>
      <c r="J26" s="38">
        <v>12</v>
      </c>
      <c r="K26" s="62">
        <v>13</v>
      </c>
      <c r="L26" s="12">
        <v>14</v>
      </c>
      <c r="M26" s="12">
        <v>15</v>
      </c>
      <c r="N26" s="12">
        <v>16</v>
      </c>
      <c r="O26" s="12">
        <v>17</v>
      </c>
      <c r="P26" s="39">
        <v>18</v>
      </c>
      <c r="Q26" s="5"/>
      <c r="R26" s="5"/>
    </row>
    <row r="27" spans="2:18" x14ac:dyDescent="0.4">
      <c r="B27" s="6" t="s">
        <v>14</v>
      </c>
      <c r="C27" s="3"/>
      <c r="D27" s="1"/>
      <c r="E27" s="1"/>
      <c r="F27" s="2"/>
      <c r="G27" s="2"/>
      <c r="H27" s="18" t="s">
        <v>39</v>
      </c>
      <c r="J27" s="38">
        <v>19</v>
      </c>
      <c r="K27" s="33">
        <v>20</v>
      </c>
      <c r="L27" s="12">
        <v>21</v>
      </c>
      <c r="M27" s="12">
        <v>22</v>
      </c>
      <c r="N27" s="12">
        <v>23</v>
      </c>
      <c r="O27" s="12">
        <v>24</v>
      </c>
      <c r="P27" s="39">
        <v>25</v>
      </c>
    </row>
    <row r="28" spans="2:18" ht="19.5" thickBot="1" x14ac:dyDescent="0.45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64</v>
      </c>
      <c r="J28" s="47">
        <v>26</v>
      </c>
      <c r="K28" s="42">
        <v>27</v>
      </c>
      <c r="L28" s="41">
        <v>28</v>
      </c>
      <c r="M28" s="41">
        <v>29</v>
      </c>
      <c r="N28" s="41">
        <v>30</v>
      </c>
      <c r="O28" s="41"/>
      <c r="P28" s="43"/>
    </row>
    <row r="29" spans="2:18" x14ac:dyDescent="0.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4">
      <c r="B31" s="6" t="s">
        <v>43</v>
      </c>
      <c r="C31" s="3"/>
      <c r="D31" s="1"/>
      <c r="E31" s="1"/>
      <c r="F31" s="2"/>
      <c r="G31" s="2"/>
      <c r="H31" s="18" t="s">
        <v>39</v>
      </c>
      <c r="J31" s="63" t="s">
        <v>35</v>
      </c>
      <c r="M31" s="9"/>
      <c r="N31" s="9"/>
    </row>
    <row r="32" spans="2:18" x14ac:dyDescent="0.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4" t="s">
        <v>36</v>
      </c>
      <c r="M32" s="5"/>
      <c r="N32" s="5"/>
    </row>
    <row r="33" spans="2:14" x14ac:dyDescent="0.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5" t="s">
        <v>38</v>
      </c>
      <c r="M33" s="5"/>
      <c r="N33" s="5"/>
    </row>
    <row r="34" spans="2:14" x14ac:dyDescent="0.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6" t="s">
        <v>63</v>
      </c>
      <c r="M34" s="5"/>
      <c r="N34" s="5"/>
    </row>
    <row r="35" spans="2:14" x14ac:dyDescent="0.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4">
      <c r="D36" s="17"/>
      <c r="E36" s="17"/>
    </row>
    <row r="37" spans="2:14" x14ac:dyDescent="0.4">
      <c r="D37" s="17"/>
      <c r="E37" s="17"/>
    </row>
    <row r="38" spans="2:14" x14ac:dyDescent="0.4">
      <c r="D38" s="17"/>
      <c r="E38" s="17"/>
    </row>
    <row r="39" spans="2:14" x14ac:dyDescent="0.4">
      <c r="D39" s="17"/>
      <c r="E39" s="17"/>
    </row>
    <row r="40" spans="2:14" x14ac:dyDescent="0.4">
      <c r="D40" s="17"/>
      <c r="E40" s="17"/>
    </row>
    <row r="41" spans="2:14" x14ac:dyDescent="0.4">
      <c r="D41" s="17"/>
      <c r="E41" s="17"/>
    </row>
    <row r="42" spans="2:14" x14ac:dyDescent="0.4">
      <c r="D42" s="17"/>
      <c r="E42" s="17"/>
    </row>
    <row r="43" spans="2:14" x14ac:dyDescent="0.4">
      <c r="D43" s="17"/>
      <c r="E43" s="17"/>
    </row>
    <row r="44" spans="2:14" x14ac:dyDescent="0.4">
      <c r="D44" s="17"/>
      <c r="E44" s="17"/>
    </row>
    <row r="45" spans="2:14" x14ac:dyDescent="0.4">
      <c r="D45" s="17"/>
      <c r="E45" s="17"/>
    </row>
    <row r="46" spans="2:14" x14ac:dyDescent="0.4">
      <c r="D46" s="17"/>
      <c r="E46" s="17"/>
    </row>
    <row r="47" spans="2:14" x14ac:dyDescent="0.4">
      <c r="D47" s="17"/>
      <c r="E47" s="17"/>
    </row>
    <row r="48" spans="2:14" x14ac:dyDescent="0.4">
      <c r="D48" s="17"/>
      <c r="E48" s="17"/>
    </row>
    <row r="49" spans="4:5" x14ac:dyDescent="0.4">
      <c r="D49" s="17"/>
      <c r="E49" s="17"/>
    </row>
    <row r="50" spans="4:5" x14ac:dyDescent="0.4">
      <c r="D50" s="17"/>
      <c r="E50" s="17"/>
    </row>
    <row r="51" spans="4:5" x14ac:dyDescent="0.4">
      <c r="D51" s="17"/>
      <c r="E51" s="17"/>
    </row>
    <row r="52" spans="4:5" x14ac:dyDescent="0.4">
      <c r="D52" s="17"/>
      <c r="E52" s="17"/>
    </row>
    <row r="53" spans="4:5" x14ac:dyDescent="0.4">
      <c r="D53" s="17"/>
      <c r="E53" s="17"/>
    </row>
    <row r="54" spans="4:5" x14ac:dyDescent="0.4">
      <c r="D54" s="17"/>
      <c r="E54" s="17"/>
    </row>
    <row r="55" spans="4:5" x14ac:dyDescent="0.4">
      <c r="D55" s="17"/>
      <c r="E55" s="17"/>
    </row>
    <row r="56" spans="4:5" x14ac:dyDescent="0.4">
      <c r="D56" s="17"/>
      <c r="E56" s="17"/>
    </row>
    <row r="57" spans="4:5" x14ac:dyDescent="0.4">
      <c r="D57" s="17"/>
      <c r="E57" s="17"/>
    </row>
    <row r="58" spans="4:5" x14ac:dyDescent="0.4">
      <c r="D58" s="17"/>
      <c r="E58" s="17"/>
    </row>
    <row r="59" spans="4:5" x14ac:dyDescent="0.4">
      <c r="D59" s="17"/>
      <c r="E59" s="17"/>
    </row>
    <row r="60" spans="4:5" x14ac:dyDescent="0.4">
      <c r="D60" s="17"/>
      <c r="E60" s="17"/>
    </row>
    <row r="61" spans="4:5" x14ac:dyDescent="0.4">
      <c r="D61" s="17"/>
      <c r="E61" s="17"/>
    </row>
    <row r="62" spans="4:5" x14ac:dyDescent="0.4">
      <c r="D62" s="17"/>
      <c r="E62" s="17"/>
    </row>
    <row r="63" spans="4:5" x14ac:dyDescent="0.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2026-03-18T07:59:18Z</dcterms:modified>
</cp:coreProperties>
</file>