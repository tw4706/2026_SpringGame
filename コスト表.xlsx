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ongy\git\2026_SpringGame\"/>
    </mc:Choice>
  </mc:AlternateContent>
  <xr:revisionPtr revIDLastSave="0" documentId="13_ncr:1_{42AB3F93-BC41-4F97-A423-B2ECE21702E4}" xr6:coauthVersionLast="47" xr6:coauthVersionMax="47" xr10:uidLastSave="{00000000-0000-0000-0000-000000000000}"/>
  <bookViews>
    <workbookView xWindow="315" yWindow="60" windowWidth="28485" windowHeight="14370" xr2:uid="{4C536231-C66C-4A73-9D9A-B6DFFC0D3CF2}"/>
  </bookViews>
  <sheets>
    <sheet name="コスト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1" l="1"/>
  <c r="K4" i="1"/>
  <c r="L8" i="1"/>
  <c r="L6" i="1"/>
  <c r="L7" i="1"/>
  <c r="L5" i="1"/>
  <c r="K12" i="1"/>
  <c r="K13" i="1" s="1"/>
  <c r="K9" i="1"/>
  <c r="K8" i="1"/>
  <c r="K7" i="1"/>
  <c r="K6" i="1"/>
  <c r="K5" i="1"/>
</calcChain>
</file>

<file path=xl/sharedStrings.xml><?xml version="1.0" encoding="utf-8"?>
<sst xmlns="http://schemas.openxmlformats.org/spreadsheetml/2006/main" count="154" uniqueCount="65">
  <si>
    <t>アニメーション</t>
    <phoneticPr fontId="2"/>
  </si>
  <si>
    <t>移動</t>
    <rPh sb="0" eb="2">
      <t>イドウ</t>
    </rPh>
    <phoneticPr fontId="2"/>
  </si>
  <si>
    <t>プレイヤー</t>
    <phoneticPr fontId="2"/>
  </si>
  <si>
    <t>インゲーム</t>
    <phoneticPr fontId="2"/>
  </si>
  <si>
    <t>リザルト</t>
    <phoneticPr fontId="2"/>
  </si>
  <si>
    <t>ステージ</t>
    <phoneticPr fontId="2"/>
  </si>
  <si>
    <t>攻撃</t>
    <rPh sb="0" eb="2">
      <t>コウゲキ</t>
    </rPh>
    <phoneticPr fontId="2"/>
  </si>
  <si>
    <t>死亡</t>
    <rPh sb="0" eb="2">
      <t>シボウ</t>
    </rPh>
    <phoneticPr fontId="2"/>
  </si>
  <si>
    <t>敵</t>
    <rPh sb="0" eb="1">
      <t>テキ</t>
    </rPh>
    <phoneticPr fontId="2"/>
  </si>
  <si>
    <t>ープレイヤー</t>
    <phoneticPr fontId="2"/>
  </si>
  <si>
    <t>Idle</t>
    <phoneticPr fontId="2"/>
  </si>
  <si>
    <t>ー敵</t>
    <rPh sb="1" eb="2">
      <t>テキ</t>
    </rPh>
    <phoneticPr fontId="2"/>
  </si>
  <si>
    <t>敵の配置</t>
    <rPh sb="0" eb="1">
      <t>テキ</t>
    </rPh>
    <rPh sb="2" eb="4">
      <t>ハイチ</t>
    </rPh>
    <phoneticPr fontId="2"/>
  </si>
  <si>
    <t>ステージの配置</t>
    <rPh sb="5" eb="7">
      <t>ハイチ</t>
    </rPh>
    <phoneticPr fontId="2"/>
  </si>
  <si>
    <t>カメラ</t>
    <phoneticPr fontId="2"/>
  </si>
  <si>
    <t>球と球の当たり判定</t>
    <rPh sb="0" eb="1">
      <t>キュウ</t>
    </rPh>
    <rPh sb="2" eb="3">
      <t>キュウ</t>
    </rPh>
    <rPh sb="4" eb="5">
      <t>ア</t>
    </rPh>
    <rPh sb="7" eb="9">
      <t>ハンテイ</t>
    </rPh>
    <phoneticPr fontId="2"/>
  </si>
  <si>
    <t>アニメーションブレンド</t>
    <phoneticPr fontId="2"/>
  </si>
  <si>
    <t>当たり判定</t>
  </si>
  <si>
    <t>シーン</t>
  </si>
  <si>
    <t>回転</t>
    <rPh sb="0" eb="2">
      <t>カイテン</t>
    </rPh>
    <phoneticPr fontId="2"/>
  </si>
  <si>
    <t>プレイヤー追従</t>
    <rPh sb="5" eb="7">
      <t>ツイジュウ</t>
    </rPh>
    <phoneticPr fontId="2"/>
  </si>
  <si>
    <t>概要</t>
    <rPh sb="0" eb="2">
      <t>ガイヨウ</t>
    </rPh>
    <phoneticPr fontId="2"/>
  </si>
  <si>
    <t>詳細</t>
    <rPh sb="0" eb="2">
      <t>ショウサイ</t>
    </rPh>
    <phoneticPr fontId="2"/>
  </si>
  <si>
    <t>バージョン</t>
    <phoneticPr fontId="2"/>
  </si>
  <si>
    <t>優先度</t>
    <rPh sb="0" eb="3">
      <t>ユウセンド</t>
    </rPh>
    <phoneticPr fontId="2"/>
  </si>
  <si>
    <t>見積コスト</t>
    <rPh sb="0" eb="2">
      <t>ミツモリ</t>
    </rPh>
    <phoneticPr fontId="2"/>
  </si>
  <si>
    <t>実コスト</t>
    <rPh sb="0" eb="1">
      <t>ジツ</t>
    </rPh>
    <phoneticPr fontId="2"/>
  </si>
  <si>
    <t>キャラクターの当たり判定</t>
    <rPh sb="7" eb="8">
      <t>ア</t>
    </rPh>
    <rPh sb="10" eb="12">
      <t>ハンテイ</t>
    </rPh>
    <phoneticPr fontId="2"/>
  </si>
  <si>
    <t>プロト</t>
  </si>
  <si>
    <t>アルファ</t>
  </si>
  <si>
    <t>1コスト3時間</t>
    <rPh sb="5" eb="7">
      <t>ジカン</t>
    </rPh>
    <phoneticPr fontId="2"/>
  </si>
  <si>
    <t>S</t>
  </si>
  <si>
    <t>A</t>
  </si>
  <si>
    <t>B</t>
  </si>
  <si>
    <t>作業工数</t>
    <rPh sb="0" eb="4">
      <t>サギョウコウスウ</t>
    </rPh>
    <phoneticPr fontId="2"/>
  </si>
  <si>
    <t>プロト</t>
    <phoneticPr fontId="2"/>
  </si>
  <si>
    <t>アルファ</t>
    <phoneticPr fontId="2"/>
  </si>
  <si>
    <t>ベータ</t>
  </si>
  <si>
    <t>ベータ</t>
    <phoneticPr fontId="2"/>
  </si>
  <si>
    <t>未完了</t>
    <rPh sb="0" eb="3">
      <t>ミカンリョウ</t>
    </rPh>
    <phoneticPr fontId="2"/>
  </si>
  <si>
    <t>ステータス</t>
    <phoneticPr fontId="2"/>
  </si>
  <si>
    <t>再生</t>
    <rPh sb="0" eb="2">
      <t>サイセイ</t>
    </rPh>
    <phoneticPr fontId="2"/>
  </si>
  <si>
    <t>停止</t>
    <rPh sb="0" eb="2">
      <t>テイシ</t>
    </rPh>
    <phoneticPr fontId="2"/>
  </si>
  <si>
    <t>エフェクト</t>
    <phoneticPr fontId="2"/>
  </si>
  <si>
    <t>エフェクトマネージャー</t>
    <phoneticPr fontId="2"/>
  </si>
  <si>
    <t>実装</t>
    <rPh sb="0" eb="2">
      <t>ジッソウ</t>
    </rPh>
    <phoneticPr fontId="2"/>
  </si>
  <si>
    <t>完了</t>
    <rPh sb="0" eb="2">
      <t>カンリョウ</t>
    </rPh>
    <phoneticPr fontId="2"/>
  </si>
  <si>
    <t>合計</t>
    <rPh sb="0" eb="2">
      <t>ゴウケイ</t>
    </rPh>
    <phoneticPr fontId="2"/>
  </si>
  <si>
    <t>残り工数</t>
    <rPh sb="0" eb="1">
      <t>ノコ</t>
    </rPh>
    <rPh sb="2" eb="4">
      <t>コウスウ</t>
    </rPh>
    <phoneticPr fontId="2"/>
  </si>
  <si>
    <t>全体</t>
    <rPh sb="0" eb="2">
      <t>ゼンタイ</t>
    </rPh>
    <phoneticPr fontId="2"/>
  </si>
  <si>
    <t>1日で2コスト</t>
    <rPh sb="1" eb="2">
      <t>ニチ</t>
    </rPh>
    <phoneticPr fontId="2"/>
  </si>
  <si>
    <t>回避</t>
    <rPh sb="0" eb="2">
      <t>カイヒ</t>
    </rPh>
    <phoneticPr fontId="2"/>
  </si>
  <si>
    <t>1日の消費コスト</t>
    <rPh sb="1" eb="2">
      <t>ニチ</t>
    </rPh>
    <rPh sb="3" eb="5">
      <t>ショウヒ</t>
    </rPh>
    <phoneticPr fontId="2"/>
  </si>
  <si>
    <t>残り日数</t>
    <rPh sb="0" eb="1">
      <t>ノコ</t>
    </rPh>
    <rPh sb="2" eb="4">
      <t>ニッスウ</t>
    </rPh>
    <phoneticPr fontId="2"/>
  </si>
  <si>
    <t>3月</t>
  </si>
  <si>
    <t>日</t>
  </si>
  <si>
    <t>月</t>
  </si>
  <si>
    <t>火</t>
  </si>
  <si>
    <t>水</t>
  </si>
  <si>
    <t>木</t>
  </si>
  <si>
    <t>金</t>
  </si>
  <si>
    <t>土</t>
  </si>
  <si>
    <t>4月</t>
    <rPh sb="1" eb="2">
      <t>ガツ</t>
    </rPh>
    <phoneticPr fontId="2"/>
  </si>
  <si>
    <t>完全提出</t>
    <rPh sb="0" eb="4">
      <t>カンゼンテイシュツ</t>
    </rPh>
    <phoneticPr fontId="2"/>
  </si>
  <si>
    <t>全体の作業時間</t>
    <rPh sb="0" eb="2">
      <t>ゼンタイ</t>
    </rPh>
    <rPh sb="3" eb="7">
      <t>サギョウジカン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</si>
</sst>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89999084444715716"/>
      </right>
      <top style="thin">
        <color theme="3" tint="0.89999084444715716"/>
      </top>
      <bottom style="thin">
        <color theme="3" tint="0.89999084444715716"/>
      </bottom>
      <diagonal/>
    </border>
    <border>
      <left style="thin">
        <color theme="1"/>
      </left>
      <right style="thin">
        <color theme="1"/>
      </right>
      <top style="thin">
        <color theme="3" tint="0.89999084444715716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2" borderId="1" xfId="0" applyFill="1" applyBorder="1" applyAlignment="1">
      <alignment horizontal="right" vertical="center"/>
    </xf>
    <xf numFmtId="0" fontId="4" fillId="0" borderId="0" xfId="0" applyFont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/>
    <xf numFmtId="0" fontId="0" fillId="0" borderId="1" xfId="0" applyBorder="1" applyAlignment="1">
      <alignment horizontal="right" vertical="center"/>
    </xf>
    <xf numFmtId="0" fontId="3" fillId="0" borderId="0" xfId="0" applyFont="1">
      <alignment vertical="center"/>
    </xf>
    <xf numFmtId="0" fontId="3" fillId="0" borderId="0" xfId="0" applyFont="1" applyAlignment="1"/>
    <xf numFmtId="0" fontId="3" fillId="0" borderId="0" xfId="0" applyFont="1" applyAlignment="1">
      <alignment horizontal="center" vertical="center"/>
    </xf>
    <xf numFmtId="0" fontId="4" fillId="0" borderId="1" xfId="0" applyFont="1" applyBorder="1">
      <alignment vertical="center"/>
    </xf>
    <xf numFmtId="0" fontId="1" fillId="5" borderId="3" xfId="0" applyFont="1" applyFill="1" applyBorder="1" applyAlignment="1"/>
    <xf numFmtId="0" fontId="1" fillId="5" borderId="4" xfId="0" applyFont="1" applyFill="1" applyBorder="1" applyAlignment="1"/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10" borderId="1" xfId="0" applyFont="1" applyFill="1" applyBorder="1" applyAlignment="1"/>
    <xf numFmtId="0" fontId="3" fillId="7" borderId="1" xfId="0" applyFont="1" applyFill="1" applyBorder="1" applyAlignment="1"/>
    <xf numFmtId="0" fontId="3" fillId="8" borderId="1" xfId="0" applyFont="1" applyFill="1" applyBorder="1" applyAlignment="1"/>
    <xf numFmtId="0" fontId="3" fillId="6" borderId="1" xfId="0" applyFont="1" applyFill="1" applyBorder="1">
      <alignment vertical="center"/>
    </xf>
    <xf numFmtId="0" fontId="3" fillId="9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/>
    <xf numFmtId="0" fontId="0" fillId="0" borderId="2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2" borderId="6" xfId="0" applyFill="1" applyBorder="1" applyAlignment="1">
      <alignment horizontal="right" vertical="center"/>
    </xf>
    <xf numFmtId="0" fontId="4" fillId="2" borderId="7" xfId="0" applyFont="1" applyFill="1" applyBorder="1" applyAlignment="1"/>
    <xf numFmtId="0" fontId="4" fillId="0" borderId="7" xfId="0" applyFont="1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1" xfId="0" applyFont="1" applyBorder="1" applyAlignment="1"/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 vertical="center"/>
    </xf>
    <xf numFmtId="0" fontId="4" fillId="0" borderId="4" xfId="0" applyFont="1" applyBorder="1" applyAlignment="1">
      <alignment horizontal="right"/>
    </xf>
    <xf numFmtId="0" fontId="4" fillId="0" borderId="5" xfId="0" applyFont="1" applyBorder="1" applyAlignment="1">
      <alignment horizontal="right" vertical="center"/>
    </xf>
    <xf numFmtId="0" fontId="4" fillId="0" borderId="12" xfId="0" applyFont="1" applyBorder="1">
      <alignment vertical="center"/>
    </xf>
    <xf numFmtId="0" fontId="4" fillId="0" borderId="13" xfId="0" applyFont="1" applyBorder="1">
      <alignment vertical="center"/>
    </xf>
    <xf numFmtId="0" fontId="4" fillId="0" borderId="12" xfId="0" applyFont="1" applyBorder="1" applyAlignment="1"/>
    <xf numFmtId="0" fontId="4" fillId="0" borderId="15" xfId="0" applyFont="1" applyBorder="1">
      <alignment vertical="center"/>
    </xf>
    <xf numFmtId="0" fontId="4" fillId="0" borderId="15" xfId="0" applyFont="1" applyBorder="1" applyAlignment="1"/>
    <xf numFmtId="0" fontId="4" fillId="0" borderId="16" xfId="0" applyFont="1" applyBorder="1">
      <alignment vertical="center"/>
    </xf>
    <xf numFmtId="0" fontId="0" fillId="0" borderId="11" xfId="0" applyBorder="1">
      <alignment vertical="center"/>
    </xf>
    <xf numFmtId="0" fontId="4" fillId="0" borderId="17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4" xfId="0" applyFont="1" applyBorder="1">
      <alignment vertical="center"/>
    </xf>
    <xf numFmtId="0" fontId="4" fillId="10" borderId="1" xfId="0" applyFont="1" applyFill="1" applyBorder="1">
      <alignment vertical="center"/>
    </xf>
    <xf numFmtId="0" fontId="4" fillId="10" borderId="1" xfId="0" applyFont="1" applyFill="1" applyBorder="1" applyAlignment="1"/>
    <xf numFmtId="0" fontId="4" fillId="10" borderId="13" xfId="0" applyFont="1" applyFill="1" applyBorder="1">
      <alignment vertical="center"/>
    </xf>
    <xf numFmtId="0" fontId="4" fillId="10" borderId="12" xfId="0" applyFont="1" applyFill="1" applyBorder="1" applyAlignment="1"/>
    <xf numFmtId="0" fontId="4" fillId="9" borderId="14" xfId="0" applyFont="1" applyFill="1" applyBorder="1" applyAlignment="1"/>
    <xf numFmtId="0" fontId="4" fillId="9" borderId="15" xfId="0" applyFont="1" applyFill="1" applyBorder="1">
      <alignment vertical="center"/>
    </xf>
    <xf numFmtId="0" fontId="4" fillId="9" borderId="4" xfId="0" applyFont="1" applyFill="1" applyBorder="1">
      <alignment vertical="center"/>
    </xf>
    <xf numFmtId="0" fontId="4" fillId="9" borderId="5" xfId="0" applyFont="1" applyFill="1" applyBorder="1">
      <alignment vertical="center"/>
    </xf>
    <xf numFmtId="0" fontId="4" fillId="9" borderId="12" xfId="0" applyFont="1" applyFill="1" applyBorder="1">
      <alignment vertical="center"/>
    </xf>
    <xf numFmtId="0" fontId="4" fillId="9" borderId="1" xfId="0" applyFont="1" applyFill="1" applyBorder="1" applyAlignment="1"/>
    <xf numFmtId="0" fontId="4" fillId="9" borderId="1" xfId="0" applyFont="1" applyFill="1" applyBorder="1">
      <alignment vertical="center"/>
    </xf>
    <xf numFmtId="0" fontId="4" fillId="11" borderId="1" xfId="0" applyFont="1" applyFill="1" applyBorder="1">
      <alignment vertical="center"/>
    </xf>
    <xf numFmtId="0" fontId="4" fillId="12" borderId="1" xfId="0" applyFont="1" applyFill="1" applyBorder="1" applyAlignment="1"/>
    <xf numFmtId="0" fontId="3" fillId="10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11" borderId="0" xfId="0" applyFont="1" applyFill="1">
      <alignment vertical="center"/>
    </xf>
    <xf numFmtId="0" fontId="1" fillId="13" borderId="0" xfId="0" applyFont="1" applyFill="1">
      <alignment vertical="center"/>
    </xf>
    <xf numFmtId="0" fontId="4" fillId="0" borderId="0" xfId="0" applyFont="1" applyAlignment="1">
      <alignment horizontal="left" vertical="center"/>
    </xf>
    <xf numFmtId="0" fontId="0" fillId="14" borderId="1" xfId="0" applyFill="1" applyBorder="1">
      <alignment vertical="center"/>
    </xf>
    <xf numFmtId="0" fontId="4" fillId="14" borderId="1" xfId="0" applyFont="1" applyFill="1" applyBorder="1">
      <alignment vertical="center"/>
    </xf>
    <xf numFmtId="0" fontId="4" fillId="0" borderId="13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B1606-320D-4390-8B98-CE6030BB2FAA}">
  <dimension ref="B1:R63"/>
  <sheetViews>
    <sheetView tabSelected="1" topLeftCell="A6" workbookViewId="0">
      <selection activeCell="P25" sqref="P25"/>
    </sheetView>
  </sheetViews>
  <sheetFormatPr defaultRowHeight="18.75" x14ac:dyDescent="0.4"/>
  <cols>
    <col min="2" max="2" width="25.375" bestFit="1" customWidth="1"/>
    <col min="3" max="3" width="25.5" bestFit="1" customWidth="1"/>
    <col min="4" max="6" width="11.25" bestFit="1" customWidth="1"/>
    <col min="7" max="7" width="9.25" bestFit="1" customWidth="1"/>
    <col min="8" max="8" width="11.25" bestFit="1" customWidth="1"/>
    <col min="10" max="10" width="16.625" bestFit="1" customWidth="1"/>
    <col min="11" max="12" width="11.625" bestFit="1" customWidth="1"/>
    <col min="13" max="13" width="11" customWidth="1"/>
    <col min="14" max="14" width="16.875" customWidth="1"/>
    <col min="15" max="15" width="9.875" customWidth="1"/>
    <col min="16" max="16" width="12.375" customWidth="1"/>
    <col min="17" max="17" width="9.25" customWidth="1"/>
    <col min="18" max="18" width="9.625" customWidth="1"/>
    <col min="19" max="19" width="10.75" customWidth="1"/>
  </cols>
  <sheetData>
    <row r="1" spans="2:16" ht="19.5" thickBot="1" x14ac:dyDescent="0.45">
      <c r="B1" t="s">
        <v>30</v>
      </c>
      <c r="C1" t="s">
        <v>50</v>
      </c>
    </row>
    <row r="2" spans="2:16" x14ac:dyDescent="0.35">
      <c r="B2" s="13" t="s">
        <v>21</v>
      </c>
      <c r="C2" s="14" t="s">
        <v>22</v>
      </c>
      <c r="D2" s="15" t="s">
        <v>24</v>
      </c>
      <c r="E2" s="15" t="s">
        <v>23</v>
      </c>
      <c r="F2" s="15" t="s">
        <v>25</v>
      </c>
      <c r="G2" s="15" t="s">
        <v>26</v>
      </c>
      <c r="H2" s="16" t="s">
        <v>40</v>
      </c>
      <c r="J2" s="9"/>
      <c r="K2" s="9"/>
      <c r="L2" s="9"/>
      <c r="M2" s="9"/>
    </row>
    <row r="3" spans="2:16" x14ac:dyDescent="0.4">
      <c r="B3" s="7" t="s">
        <v>2</v>
      </c>
      <c r="C3" s="3" t="s">
        <v>1</v>
      </c>
      <c r="D3" s="1" t="s">
        <v>31</v>
      </c>
      <c r="E3" s="1" t="s">
        <v>28</v>
      </c>
      <c r="F3" s="2">
        <v>0.5</v>
      </c>
      <c r="G3" s="4">
        <v>0.5</v>
      </c>
      <c r="H3" s="18" t="s">
        <v>46</v>
      </c>
      <c r="J3" s="22" t="s">
        <v>34</v>
      </c>
      <c r="K3" s="22" t="s">
        <v>47</v>
      </c>
      <c r="L3" s="22" t="s">
        <v>48</v>
      </c>
    </row>
    <row r="4" spans="2:16" x14ac:dyDescent="0.4">
      <c r="B4" s="7"/>
      <c r="C4" s="3" t="s">
        <v>6</v>
      </c>
      <c r="D4" s="1" t="s">
        <v>31</v>
      </c>
      <c r="E4" s="1" t="s">
        <v>28</v>
      </c>
      <c r="F4" s="2">
        <v>0.5</v>
      </c>
      <c r="G4" s="4"/>
      <c r="H4" s="18" t="s">
        <v>39</v>
      </c>
      <c r="J4" s="2" t="s">
        <v>49</v>
      </c>
      <c r="K4" s="2">
        <f>COUNTA(H3:H35)</f>
        <v>32</v>
      </c>
      <c r="L4" s="67"/>
    </row>
    <row r="5" spans="2:16" x14ac:dyDescent="0.4">
      <c r="B5" s="7"/>
      <c r="C5" s="3" t="s">
        <v>7</v>
      </c>
      <c r="D5" s="1" t="s">
        <v>31</v>
      </c>
      <c r="E5" s="1" t="s">
        <v>29</v>
      </c>
      <c r="F5" s="2">
        <v>0.5</v>
      </c>
      <c r="G5" s="4"/>
      <c r="H5" s="18" t="s">
        <v>39</v>
      </c>
      <c r="J5" s="19" t="s">
        <v>35</v>
      </c>
      <c r="K5" s="2">
        <f>SUMIF(E3:E35,"プロト",F3:F35)</f>
        <v>11</v>
      </c>
      <c r="L5" s="2">
        <f>SUMIFS(F:F, E:E, "プロト", H:H, "未完了")</f>
        <v>2.5</v>
      </c>
    </row>
    <row r="6" spans="2:16" x14ac:dyDescent="0.4">
      <c r="B6" s="7"/>
      <c r="C6" s="3" t="s">
        <v>51</v>
      </c>
      <c r="D6" s="18" t="s">
        <v>32</v>
      </c>
      <c r="E6" s="18" t="s">
        <v>29</v>
      </c>
      <c r="F6" s="8">
        <v>1</v>
      </c>
      <c r="G6" s="8"/>
      <c r="H6" s="18" t="s">
        <v>39</v>
      </c>
      <c r="J6" s="20" t="s">
        <v>36</v>
      </c>
      <c r="K6" s="2">
        <f>SUMIF(E3:E35,"アルファ",F3:F35)</f>
        <v>11.5</v>
      </c>
      <c r="L6" s="2">
        <f>SUMIFS(F:F, E:E, "アルファ", H:H, "未完了")</f>
        <v>11.5</v>
      </c>
    </row>
    <row r="7" spans="2:16" x14ac:dyDescent="0.4">
      <c r="B7" s="7" t="s">
        <v>8</v>
      </c>
      <c r="C7" s="3"/>
      <c r="D7" s="18"/>
      <c r="E7" s="18"/>
      <c r="F7" s="8"/>
      <c r="G7" s="8"/>
      <c r="H7" s="18"/>
      <c r="J7" s="21" t="s">
        <v>38</v>
      </c>
      <c r="K7" s="2">
        <f>SUMIF(E3:E35,"ベータ",F3:F35)</f>
        <v>1</v>
      </c>
      <c r="L7" s="2">
        <f>SUMIFS(F:F, E:E, "ベータ", H:H, "未完了")</f>
        <v>1</v>
      </c>
    </row>
    <row r="8" spans="2:16" x14ac:dyDescent="0.4">
      <c r="B8" s="7"/>
      <c r="C8" s="3" t="s">
        <v>1</v>
      </c>
      <c r="D8" s="1" t="s">
        <v>31</v>
      </c>
      <c r="E8" s="1" t="s">
        <v>28</v>
      </c>
      <c r="F8" s="2">
        <v>0.5</v>
      </c>
      <c r="G8" s="2"/>
      <c r="H8" s="18" t="s">
        <v>39</v>
      </c>
      <c r="J8" s="24" t="s">
        <v>39</v>
      </c>
      <c r="K8" s="2">
        <f>COUNTIF(H3:H35,J8)</f>
        <v>26</v>
      </c>
      <c r="L8" s="2">
        <f>COUNTIF(H:H, "未完了")</f>
        <v>26</v>
      </c>
    </row>
    <row r="9" spans="2:16" x14ac:dyDescent="0.4">
      <c r="B9" s="7"/>
      <c r="C9" s="3" t="s">
        <v>7</v>
      </c>
      <c r="D9" s="1" t="s">
        <v>31</v>
      </c>
      <c r="E9" s="1" t="s">
        <v>28</v>
      </c>
      <c r="F9" s="2">
        <v>0.5</v>
      </c>
      <c r="G9" s="4"/>
      <c r="H9" s="18" t="s">
        <v>39</v>
      </c>
      <c r="J9" s="23" t="s">
        <v>46</v>
      </c>
      <c r="K9" s="12">
        <f>COUNTIF(H3:H35,J9)</f>
        <v>6</v>
      </c>
      <c r="L9" s="68"/>
    </row>
    <row r="10" spans="2:16" x14ac:dyDescent="0.4">
      <c r="B10" s="7" t="s">
        <v>0</v>
      </c>
      <c r="C10" s="3"/>
      <c r="D10" s="1"/>
      <c r="E10" s="1"/>
      <c r="F10" s="4"/>
      <c r="G10" s="4"/>
      <c r="H10" s="18" t="s">
        <v>39</v>
      </c>
      <c r="I10" s="5"/>
      <c r="J10" s="11"/>
      <c r="K10" s="5"/>
      <c r="L10" s="5"/>
      <c r="M10" s="5"/>
    </row>
    <row r="11" spans="2:16" x14ac:dyDescent="0.4">
      <c r="B11" s="7" t="s">
        <v>9</v>
      </c>
      <c r="C11" s="3" t="s">
        <v>10</v>
      </c>
      <c r="D11" s="1" t="s">
        <v>31</v>
      </c>
      <c r="E11" s="1" t="s">
        <v>29</v>
      </c>
      <c r="F11" s="4">
        <v>0.5</v>
      </c>
      <c r="G11" s="4"/>
      <c r="H11" s="18" t="s">
        <v>39</v>
      </c>
      <c r="I11" s="5"/>
      <c r="J11" t="s">
        <v>64</v>
      </c>
      <c r="K11">
        <f>SUM(F3:F35)</f>
        <v>23.5</v>
      </c>
      <c r="M11" s="5"/>
    </row>
    <row r="12" spans="2:16" x14ac:dyDescent="0.4">
      <c r="B12" s="7"/>
      <c r="C12" s="3" t="s">
        <v>6</v>
      </c>
      <c r="D12" s="1" t="s">
        <v>31</v>
      </c>
      <c r="E12" s="1" t="s">
        <v>29</v>
      </c>
      <c r="F12" s="4">
        <v>0.5</v>
      </c>
      <c r="G12" s="4"/>
      <c r="H12" s="25" t="s">
        <v>39</v>
      </c>
      <c r="I12" s="28"/>
      <c r="J12" t="s">
        <v>53</v>
      </c>
      <c r="K12" s="5">
        <f ca="1">DATE(2026,4,17)-TODAY()</f>
        <v>27</v>
      </c>
      <c r="L12" s="9"/>
      <c r="M12" s="9"/>
    </row>
    <row r="13" spans="2:16" x14ac:dyDescent="0.4">
      <c r="B13" s="7"/>
      <c r="C13" s="3" t="s">
        <v>1</v>
      </c>
      <c r="D13" s="1" t="s">
        <v>31</v>
      </c>
      <c r="E13" s="1" t="s">
        <v>29</v>
      </c>
      <c r="F13" s="4">
        <v>0.5</v>
      </c>
      <c r="G13" s="27"/>
      <c r="H13" s="30" t="s">
        <v>39</v>
      </c>
      <c r="I13" s="28"/>
      <c r="J13" s="66" t="s">
        <v>52</v>
      </c>
      <c r="K13" s="5">
        <f ca="1">K11/K12</f>
        <v>0.87037037037037035</v>
      </c>
      <c r="L13" s="5"/>
      <c r="M13" s="5"/>
    </row>
    <row r="14" spans="2:16" ht="19.5" thickBot="1" x14ac:dyDescent="0.45">
      <c r="B14" s="7"/>
      <c r="C14" s="3" t="s">
        <v>7</v>
      </c>
      <c r="D14" s="1" t="s">
        <v>31</v>
      </c>
      <c r="E14" s="1" t="s">
        <v>29</v>
      </c>
      <c r="F14" s="4">
        <v>0.5</v>
      </c>
      <c r="G14" s="27"/>
      <c r="H14" s="32" t="s">
        <v>39</v>
      </c>
      <c r="I14" s="28"/>
      <c r="J14" s="10"/>
      <c r="K14" s="5"/>
      <c r="L14" s="5"/>
    </row>
    <row r="15" spans="2:16" ht="19.5" thickBot="1" x14ac:dyDescent="0.45">
      <c r="B15" s="7"/>
      <c r="C15" s="3" t="s">
        <v>16</v>
      </c>
      <c r="D15" s="1" t="s">
        <v>31</v>
      </c>
      <c r="E15" s="1" t="s">
        <v>29</v>
      </c>
      <c r="F15" s="4">
        <v>1</v>
      </c>
      <c r="G15" s="27"/>
      <c r="H15" s="31" t="s">
        <v>39</v>
      </c>
      <c r="I15" s="28"/>
      <c r="J15" s="44" t="s">
        <v>54</v>
      </c>
      <c r="M15" s="5"/>
      <c r="N15" s="5"/>
      <c r="O15" s="10"/>
      <c r="P15" s="5"/>
    </row>
    <row r="16" spans="2:16" x14ac:dyDescent="0.4">
      <c r="B16" s="7" t="s">
        <v>11</v>
      </c>
      <c r="C16" s="3" t="s">
        <v>10</v>
      </c>
      <c r="D16" s="1" t="s">
        <v>31</v>
      </c>
      <c r="E16" s="1" t="s">
        <v>29</v>
      </c>
      <c r="F16" s="4">
        <v>1</v>
      </c>
      <c r="G16" s="27"/>
      <c r="H16" s="31" t="s">
        <v>39</v>
      </c>
      <c r="I16" s="28"/>
      <c r="J16" s="34" t="s">
        <v>55</v>
      </c>
      <c r="K16" s="35" t="s">
        <v>56</v>
      </c>
      <c r="L16" s="35" t="s">
        <v>57</v>
      </c>
      <c r="M16" s="35" t="s">
        <v>58</v>
      </c>
      <c r="N16" s="35" t="s">
        <v>59</v>
      </c>
      <c r="O16" s="36" t="s">
        <v>60</v>
      </c>
      <c r="P16" s="37" t="s">
        <v>61</v>
      </c>
    </row>
    <row r="17" spans="2:18" x14ac:dyDescent="0.4">
      <c r="B17" s="6"/>
      <c r="C17" s="3" t="s">
        <v>7</v>
      </c>
      <c r="D17" s="1" t="s">
        <v>31</v>
      </c>
      <c r="E17" s="1" t="s">
        <v>29</v>
      </c>
      <c r="F17" s="4">
        <v>1</v>
      </c>
      <c r="G17" s="27"/>
      <c r="H17" s="31" t="s">
        <v>39</v>
      </c>
      <c r="I17" s="29"/>
      <c r="J17" s="38">
        <v>1</v>
      </c>
      <c r="K17" s="12">
        <v>2</v>
      </c>
      <c r="L17" s="12">
        <v>3</v>
      </c>
      <c r="M17" s="12">
        <v>4</v>
      </c>
      <c r="N17" s="12">
        <v>5</v>
      </c>
      <c r="O17" s="12">
        <v>6</v>
      </c>
      <c r="P17" s="39">
        <v>7</v>
      </c>
    </row>
    <row r="18" spans="2:18" x14ac:dyDescent="0.4">
      <c r="B18" s="6" t="s">
        <v>18</v>
      </c>
      <c r="C18" s="3"/>
      <c r="D18" s="1"/>
      <c r="E18" s="1"/>
      <c r="F18" s="2"/>
      <c r="G18" s="26"/>
      <c r="H18" s="31" t="s">
        <v>39</v>
      </c>
      <c r="I18" s="5"/>
      <c r="J18" s="38">
        <v>8</v>
      </c>
      <c r="K18" s="12">
        <v>9</v>
      </c>
      <c r="L18" s="12">
        <v>10</v>
      </c>
      <c r="M18" s="12">
        <v>11</v>
      </c>
      <c r="N18" s="12">
        <v>12</v>
      </c>
      <c r="O18" s="12">
        <v>13</v>
      </c>
      <c r="P18" s="39">
        <v>14</v>
      </c>
    </row>
    <row r="19" spans="2:18" x14ac:dyDescent="0.4">
      <c r="B19" s="6"/>
      <c r="C19" s="3" t="s">
        <v>3</v>
      </c>
      <c r="D19" s="1" t="s">
        <v>32</v>
      </c>
      <c r="E19" s="1" t="s">
        <v>29</v>
      </c>
      <c r="F19" s="8">
        <v>1</v>
      </c>
      <c r="G19" s="2"/>
      <c r="H19" s="18" t="s">
        <v>39</v>
      </c>
      <c r="I19" s="5"/>
      <c r="J19" s="40">
        <v>15</v>
      </c>
      <c r="K19" s="12">
        <v>16</v>
      </c>
      <c r="L19" s="49">
        <v>17</v>
      </c>
      <c r="M19" s="49">
        <v>18</v>
      </c>
      <c r="N19" s="49">
        <v>19</v>
      </c>
      <c r="O19" s="50">
        <v>20</v>
      </c>
      <c r="P19" s="51">
        <v>21</v>
      </c>
    </row>
    <row r="20" spans="2:18" x14ac:dyDescent="0.4">
      <c r="B20" s="6"/>
      <c r="C20" s="3" t="s">
        <v>4</v>
      </c>
      <c r="D20" s="1" t="s">
        <v>33</v>
      </c>
      <c r="E20" s="1" t="s">
        <v>29</v>
      </c>
      <c r="F20" s="8">
        <v>1</v>
      </c>
      <c r="G20" s="2"/>
      <c r="H20" s="18" t="s">
        <v>39</v>
      </c>
      <c r="I20" s="5"/>
      <c r="J20" s="52">
        <v>22</v>
      </c>
      <c r="K20" s="49">
        <v>23</v>
      </c>
      <c r="L20" s="49">
        <v>24</v>
      </c>
      <c r="M20" s="49">
        <v>25</v>
      </c>
      <c r="N20" s="49">
        <v>26</v>
      </c>
      <c r="O20" s="50">
        <v>27</v>
      </c>
      <c r="P20" s="51">
        <v>28</v>
      </c>
    </row>
    <row r="21" spans="2:18" ht="19.5" thickBot="1" x14ac:dyDescent="0.45">
      <c r="B21" s="6" t="s">
        <v>5</v>
      </c>
      <c r="C21" s="3"/>
      <c r="D21" s="1"/>
      <c r="E21" s="1"/>
      <c r="F21" s="2"/>
      <c r="G21" s="2"/>
      <c r="H21" s="18" t="s">
        <v>39</v>
      </c>
      <c r="I21" s="5"/>
      <c r="J21" s="53">
        <v>29</v>
      </c>
      <c r="K21" s="54">
        <v>30</v>
      </c>
      <c r="L21" s="54">
        <v>31</v>
      </c>
      <c r="M21" s="41"/>
      <c r="N21" s="41"/>
      <c r="O21" s="42"/>
      <c r="P21" s="43"/>
    </row>
    <row r="22" spans="2:18" ht="19.5" thickBot="1" x14ac:dyDescent="0.45">
      <c r="B22" s="6"/>
      <c r="C22" s="3" t="s">
        <v>12</v>
      </c>
      <c r="D22" s="1" t="s">
        <v>31</v>
      </c>
      <c r="E22" s="1" t="s">
        <v>29</v>
      </c>
      <c r="F22" s="8">
        <v>1</v>
      </c>
      <c r="G22" s="2"/>
      <c r="H22" s="18" t="s">
        <v>39</v>
      </c>
      <c r="J22" s="5"/>
      <c r="K22" s="5"/>
    </row>
    <row r="23" spans="2:18" ht="19.5" thickBot="1" x14ac:dyDescent="0.45">
      <c r="B23" s="6"/>
      <c r="C23" s="3" t="s">
        <v>13</v>
      </c>
      <c r="D23" s="1" t="s">
        <v>31</v>
      </c>
      <c r="E23" s="1" t="s">
        <v>28</v>
      </c>
      <c r="F23" s="8">
        <v>1</v>
      </c>
      <c r="G23" s="2"/>
      <c r="H23" s="18" t="s">
        <v>39</v>
      </c>
      <c r="J23" s="45" t="s">
        <v>62</v>
      </c>
      <c r="Q23" s="5"/>
      <c r="R23" s="5"/>
    </row>
    <row r="24" spans="2:18" x14ac:dyDescent="0.4">
      <c r="B24" s="6" t="s">
        <v>17</v>
      </c>
      <c r="C24" s="3"/>
      <c r="D24" s="1"/>
      <c r="E24" s="1"/>
      <c r="F24" s="2"/>
      <c r="G24" s="2"/>
      <c r="H24" s="18" t="s">
        <v>39</v>
      </c>
      <c r="J24" s="46"/>
      <c r="K24" s="48"/>
      <c r="L24" s="48"/>
      <c r="M24" s="55">
        <v>1</v>
      </c>
      <c r="N24" s="55">
        <v>2</v>
      </c>
      <c r="O24" s="55">
        <v>3</v>
      </c>
      <c r="P24" s="56">
        <v>4</v>
      </c>
      <c r="Q24" s="5"/>
      <c r="R24" s="5"/>
    </row>
    <row r="25" spans="2:18" x14ac:dyDescent="0.4">
      <c r="B25" s="6"/>
      <c r="C25" s="3" t="s">
        <v>15</v>
      </c>
      <c r="D25" s="1" t="s">
        <v>31</v>
      </c>
      <c r="E25" s="1" t="s">
        <v>28</v>
      </c>
      <c r="F25" s="8">
        <v>1</v>
      </c>
      <c r="G25" s="2">
        <v>0.5</v>
      </c>
      <c r="H25" s="18" t="s">
        <v>46</v>
      </c>
      <c r="J25" s="57">
        <v>5</v>
      </c>
      <c r="K25" s="58">
        <v>6</v>
      </c>
      <c r="L25" s="59">
        <v>7</v>
      </c>
      <c r="M25" s="60">
        <v>8</v>
      </c>
      <c r="N25" s="60">
        <v>9</v>
      </c>
      <c r="O25" s="60">
        <v>10</v>
      </c>
      <c r="P25" s="69">
        <v>11</v>
      </c>
      <c r="Q25" s="5"/>
      <c r="R25" s="5"/>
    </row>
    <row r="26" spans="2:18" x14ac:dyDescent="0.4">
      <c r="B26" s="6"/>
      <c r="C26" s="3" t="s">
        <v>27</v>
      </c>
      <c r="D26" s="1" t="s">
        <v>31</v>
      </c>
      <c r="E26" s="1" t="s">
        <v>28</v>
      </c>
      <c r="F26" s="8">
        <v>1</v>
      </c>
      <c r="G26" s="2">
        <v>0.5</v>
      </c>
      <c r="H26" s="18" t="s">
        <v>46</v>
      </c>
      <c r="J26" s="38">
        <v>12</v>
      </c>
      <c r="K26" s="61">
        <v>13</v>
      </c>
      <c r="L26" s="12">
        <v>14</v>
      </c>
      <c r="M26" s="12">
        <v>15</v>
      </c>
      <c r="N26" s="12">
        <v>16</v>
      </c>
      <c r="O26" s="12">
        <v>17</v>
      </c>
      <c r="P26" s="39">
        <v>18</v>
      </c>
      <c r="Q26" s="5"/>
      <c r="R26" s="5"/>
    </row>
    <row r="27" spans="2:18" x14ac:dyDescent="0.4">
      <c r="B27" s="6" t="s">
        <v>14</v>
      </c>
      <c r="C27" s="3"/>
      <c r="D27" s="1"/>
      <c r="E27" s="1"/>
      <c r="F27" s="2"/>
      <c r="G27" s="2"/>
      <c r="H27" s="18" t="s">
        <v>39</v>
      </c>
      <c r="J27" s="38">
        <v>19</v>
      </c>
      <c r="K27" s="33">
        <v>20</v>
      </c>
      <c r="L27" s="12">
        <v>21</v>
      </c>
      <c r="M27" s="12">
        <v>22</v>
      </c>
      <c r="N27" s="12">
        <v>23</v>
      </c>
      <c r="O27" s="12">
        <v>24</v>
      </c>
      <c r="P27" s="39">
        <v>25</v>
      </c>
    </row>
    <row r="28" spans="2:18" ht="19.5" thickBot="1" x14ac:dyDescent="0.45">
      <c r="B28" s="6"/>
      <c r="C28" s="3" t="s">
        <v>1</v>
      </c>
      <c r="D28" s="1" t="s">
        <v>31</v>
      </c>
      <c r="E28" s="1" t="s">
        <v>28</v>
      </c>
      <c r="F28" s="2">
        <v>2</v>
      </c>
      <c r="G28" s="2">
        <v>2</v>
      </c>
      <c r="H28" s="18" t="s">
        <v>46</v>
      </c>
      <c r="J28" s="47">
        <v>26</v>
      </c>
      <c r="K28" s="42">
        <v>27</v>
      </c>
      <c r="L28" s="41">
        <v>28</v>
      </c>
      <c r="M28" s="41">
        <v>29</v>
      </c>
      <c r="N28" s="41">
        <v>30</v>
      </c>
      <c r="O28" s="41"/>
      <c r="P28" s="43"/>
    </row>
    <row r="29" spans="2:18" x14ac:dyDescent="0.4">
      <c r="B29" s="6"/>
      <c r="C29" s="3" t="s">
        <v>19</v>
      </c>
      <c r="D29" s="1" t="s">
        <v>31</v>
      </c>
      <c r="E29" s="1" t="s">
        <v>28</v>
      </c>
      <c r="F29" s="2">
        <v>2</v>
      </c>
      <c r="G29" s="2">
        <v>2</v>
      </c>
      <c r="H29" s="18" t="s">
        <v>46</v>
      </c>
      <c r="M29" s="5"/>
      <c r="N29" s="5"/>
    </row>
    <row r="30" spans="2:18" x14ac:dyDescent="0.4">
      <c r="B30" s="6"/>
      <c r="C30" s="3" t="s">
        <v>20</v>
      </c>
      <c r="D30" s="1" t="s">
        <v>31</v>
      </c>
      <c r="E30" s="1" t="s">
        <v>28</v>
      </c>
      <c r="F30" s="2">
        <v>2</v>
      </c>
      <c r="G30" s="2">
        <v>2</v>
      </c>
      <c r="H30" s="18" t="s">
        <v>46</v>
      </c>
      <c r="M30" s="9"/>
      <c r="N30" s="9"/>
    </row>
    <row r="31" spans="2:18" x14ac:dyDescent="0.4">
      <c r="B31" s="6" t="s">
        <v>43</v>
      </c>
      <c r="C31" s="3"/>
      <c r="D31" s="1"/>
      <c r="E31" s="1"/>
      <c r="F31" s="2"/>
      <c r="G31" s="2"/>
      <c r="H31" s="18" t="s">
        <v>39</v>
      </c>
      <c r="J31" s="62" t="s">
        <v>35</v>
      </c>
      <c r="M31" s="9"/>
      <c r="N31" s="9"/>
    </row>
    <row r="32" spans="2:18" x14ac:dyDescent="0.4">
      <c r="B32" s="6"/>
      <c r="C32" s="3" t="s">
        <v>44</v>
      </c>
      <c r="D32" s="1" t="s">
        <v>33</v>
      </c>
      <c r="E32" s="1" t="s">
        <v>29</v>
      </c>
      <c r="F32" s="2">
        <v>1</v>
      </c>
      <c r="G32" s="2"/>
      <c r="H32" s="18" t="s">
        <v>39</v>
      </c>
      <c r="J32" s="63" t="s">
        <v>36</v>
      </c>
      <c r="M32" s="5"/>
      <c r="N32" s="5"/>
    </row>
    <row r="33" spans="2:14" x14ac:dyDescent="0.4">
      <c r="B33" s="6"/>
      <c r="C33" s="3" t="s">
        <v>41</v>
      </c>
      <c r="D33" s="1" t="s">
        <v>33</v>
      </c>
      <c r="E33" s="1" t="s">
        <v>29</v>
      </c>
      <c r="F33" s="2">
        <v>0.5</v>
      </c>
      <c r="G33" s="2"/>
      <c r="H33" s="18" t="s">
        <v>39</v>
      </c>
      <c r="J33" s="64" t="s">
        <v>38</v>
      </c>
      <c r="M33" s="5"/>
      <c r="N33" s="5"/>
    </row>
    <row r="34" spans="2:14" x14ac:dyDescent="0.4">
      <c r="B34" s="6"/>
      <c r="C34" s="3" t="s">
        <v>42</v>
      </c>
      <c r="D34" s="1" t="s">
        <v>33</v>
      </c>
      <c r="E34" s="1" t="s">
        <v>29</v>
      </c>
      <c r="F34" s="2">
        <v>0.5</v>
      </c>
      <c r="G34" s="2"/>
      <c r="H34" s="18" t="s">
        <v>39</v>
      </c>
      <c r="J34" s="65" t="s">
        <v>63</v>
      </c>
      <c r="M34" s="5"/>
      <c r="N34" s="5"/>
    </row>
    <row r="35" spans="2:14" x14ac:dyDescent="0.4">
      <c r="B35" s="6"/>
      <c r="C35" s="3" t="s">
        <v>45</v>
      </c>
      <c r="D35" s="1" t="s">
        <v>33</v>
      </c>
      <c r="E35" s="1" t="s">
        <v>37</v>
      </c>
      <c r="F35" s="2">
        <v>1</v>
      </c>
      <c r="G35" s="2"/>
      <c r="H35" s="18" t="s">
        <v>39</v>
      </c>
    </row>
    <row r="36" spans="2:14" x14ac:dyDescent="0.4">
      <c r="D36" s="17"/>
      <c r="E36" s="17"/>
    </row>
    <row r="37" spans="2:14" x14ac:dyDescent="0.4">
      <c r="D37" s="17"/>
      <c r="E37" s="17"/>
    </row>
    <row r="38" spans="2:14" x14ac:dyDescent="0.4">
      <c r="D38" s="17"/>
      <c r="E38" s="17"/>
    </row>
    <row r="39" spans="2:14" x14ac:dyDescent="0.4">
      <c r="D39" s="17"/>
      <c r="E39" s="17"/>
    </row>
    <row r="40" spans="2:14" x14ac:dyDescent="0.4">
      <c r="D40" s="17"/>
      <c r="E40" s="17"/>
    </row>
    <row r="41" spans="2:14" x14ac:dyDescent="0.4">
      <c r="D41" s="17"/>
      <c r="E41" s="17"/>
    </row>
    <row r="42" spans="2:14" x14ac:dyDescent="0.4">
      <c r="D42" s="17"/>
      <c r="E42" s="17"/>
    </row>
    <row r="43" spans="2:14" x14ac:dyDescent="0.4">
      <c r="D43" s="17"/>
      <c r="E43" s="17"/>
    </row>
    <row r="44" spans="2:14" x14ac:dyDescent="0.4">
      <c r="D44" s="17"/>
      <c r="E44" s="17"/>
    </row>
    <row r="45" spans="2:14" x14ac:dyDescent="0.4">
      <c r="D45" s="17"/>
      <c r="E45" s="17"/>
    </row>
    <row r="46" spans="2:14" x14ac:dyDescent="0.4">
      <c r="D46" s="17"/>
      <c r="E46" s="17"/>
    </row>
    <row r="47" spans="2:14" x14ac:dyDescent="0.4">
      <c r="D47" s="17"/>
      <c r="E47" s="17"/>
    </row>
    <row r="48" spans="2:14" x14ac:dyDescent="0.4">
      <c r="D48" s="17"/>
      <c r="E48" s="17"/>
    </row>
    <row r="49" spans="4:5" x14ac:dyDescent="0.4">
      <c r="D49" s="17"/>
      <c r="E49" s="17"/>
    </row>
    <row r="50" spans="4:5" x14ac:dyDescent="0.4">
      <c r="D50" s="17"/>
      <c r="E50" s="17"/>
    </row>
    <row r="51" spans="4:5" x14ac:dyDescent="0.4">
      <c r="D51" s="17"/>
      <c r="E51" s="17"/>
    </row>
    <row r="52" spans="4:5" x14ac:dyDescent="0.4">
      <c r="D52" s="17"/>
      <c r="E52" s="17"/>
    </row>
    <row r="53" spans="4:5" x14ac:dyDescent="0.4">
      <c r="D53" s="17"/>
      <c r="E53" s="17"/>
    </row>
    <row r="54" spans="4:5" x14ac:dyDescent="0.4">
      <c r="D54" s="17"/>
      <c r="E54" s="17"/>
    </row>
    <row r="55" spans="4:5" x14ac:dyDescent="0.4">
      <c r="D55" s="17"/>
      <c r="E55" s="17"/>
    </row>
    <row r="56" spans="4:5" x14ac:dyDescent="0.4">
      <c r="D56" s="17"/>
      <c r="E56" s="17"/>
    </row>
    <row r="57" spans="4:5" x14ac:dyDescent="0.4">
      <c r="D57" s="17"/>
      <c r="E57" s="17"/>
    </row>
    <row r="58" spans="4:5" x14ac:dyDescent="0.4">
      <c r="D58" s="17"/>
      <c r="E58" s="17"/>
    </row>
    <row r="59" spans="4:5" x14ac:dyDescent="0.4">
      <c r="D59" s="17"/>
      <c r="E59" s="17"/>
    </row>
    <row r="60" spans="4:5" x14ac:dyDescent="0.4">
      <c r="D60" s="17"/>
      <c r="E60" s="17"/>
    </row>
    <row r="61" spans="4:5" x14ac:dyDescent="0.4">
      <c r="D61" s="17"/>
      <c r="E61" s="17"/>
    </row>
    <row r="62" spans="4:5" x14ac:dyDescent="0.4">
      <c r="D62" s="17"/>
      <c r="E62" s="17"/>
    </row>
    <row r="63" spans="4:5" x14ac:dyDescent="0.4">
      <c r="D63" s="17"/>
      <c r="E63" s="17"/>
    </row>
  </sheetData>
  <phoneticPr fontId="2"/>
  <dataValidations count="2">
    <dataValidation type="list" allowBlank="1" showInputMessage="1" showErrorMessage="1" sqref="D3:D63" xr:uid="{D99FF9D9-52C2-47CC-BC93-4ACF23B2DA2A}">
      <formula1>"S,A,B,C"</formula1>
    </dataValidation>
    <dataValidation type="list" allowBlank="1" showInputMessage="1" showErrorMessage="1" sqref="E3:E63" xr:uid="{3F25CF45-EEFF-4838-8184-2DB508A95967}">
      <formula1>"プロト,アルファ,ベータ,マスタ"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コスト表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川浪　珀虎</dc:creator>
  <cp:lastModifiedBy>w t</cp:lastModifiedBy>
  <dcterms:created xsi:type="dcterms:W3CDTF">2026-02-05T12:39:00Z</dcterms:created>
  <dcterms:modified xsi:type="dcterms:W3CDTF">2026-03-21T02:49:01Z</dcterms:modified>
</cp:coreProperties>
</file>