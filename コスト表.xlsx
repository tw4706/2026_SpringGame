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C00D2BB9-51E7-4ACA-9AC6-CC0762E14872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9" i="1"/>
  <c r="K8" i="1"/>
  <c r="K7" i="1"/>
  <c r="K6" i="1"/>
  <c r="K5" i="1"/>
  <c r="K13" i="1" l="1"/>
</calcChain>
</file>

<file path=xl/sharedStrings.xml><?xml version="1.0" encoding="utf-8"?>
<sst xmlns="http://schemas.openxmlformats.org/spreadsheetml/2006/main" count="149" uniqueCount="65">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</sst>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2" xfId="0" applyFont="1" applyFill="1" applyBorder="1" applyAlignment="1"/>
    <xf numFmtId="0" fontId="1" fillId="5" borderId="3" xfId="0" applyFont="1" applyFill="1" applyBorder="1" applyAlignment="1"/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5" xfId="0" applyBorder="1">
      <alignment vertical="center"/>
    </xf>
    <xf numFmtId="0" fontId="0" fillId="2" borderId="5" xfId="0" applyFill="1" applyBorder="1" applyAlignment="1">
      <alignment horizontal="right" vertical="center"/>
    </xf>
    <xf numFmtId="0" fontId="4" fillId="2" borderId="6" xfId="0" applyFont="1" applyFill="1" applyBorder="1" applyAlignment="1"/>
    <xf numFmtId="0" fontId="4" fillId="0" borderId="6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9" xfId="0" applyFont="1" applyBorder="1" applyAlignment="1"/>
    <xf numFmtId="0" fontId="4" fillId="0" borderId="12" xfId="0" applyFont="1" applyBorder="1">
      <alignment vertical="center"/>
    </xf>
    <xf numFmtId="0" fontId="4" fillId="0" borderId="12" xfId="0" applyFont="1" applyBorder="1" applyAlignment="1"/>
    <xf numFmtId="0" fontId="4" fillId="0" borderId="13" xfId="0" applyFont="1" applyBorder="1">
      <alignment vertical="center"/>
    </xf>
    <xf numFmtId="0" fontId="0" fillId="0" borderId="8" xfId="0" applyBorder="1">
      <alignment vertical="center"/>
    </xf>
    <xf numFmtId="0" fontId="4" fillId="0" borderId="14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0" xfId="0" applyFont="1" applyFill="1" applyBorder="1">
      <alignment vertical="center"/>
    </xf>
    <xf numFmtId="0" fontId="4" fillId="10" borderId="9" xfId="0" applyFont="1" applyFill="1" applyBorder="1" applyAlignment="1"/>
    <xf numFmtId="0" fontId="4" fillId="9" borderId="11" xfId="0" applyFont="1" applyFill="1" applyBorder="1" applyAlignment="1"/>
    <xf numFmtId="0" fontId="4" fillId="9" borderId="12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9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  <xf numFmtId="0" fontId="0" fillId="2" borderId="15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B6" workbookViewId="0">
      <selection activeCell="J12" sqref="J12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50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46</v>
      </c>
      <c r="J4" s="2" t="s">
        <v>49</v>
      </c>
      <c r="K4" s="2">
        <f>COUNTA(H3:H35)</f>
        <v>27</v>
      </c>
      <c r="L4" s="64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11</v>
      </c>
      <c r="L5" s="2">
        <f>SUMIFS(F:F, E:E, "プロト", H:H, "未完了")</f>
        <v>0</v>
      </c>
    </row>
    <row r="6" spans="2:16" x14ac:dyDescent="0.55000000000000004">
      <c r="B6" s="7"/>
      <c r="C6" s="3" t="s">
        <v>51</v>
      </c>
      <c r="D6" s="18" t="s">
        <v>32</v>
      </c>
      <c r="E6" s="18" t="s">
        <v>29</v>
      </c>
      <c r="F6" s="8">
        <v>1</v>
      </c>
      <c r="G6" s="8">
        <v>1</v>
      </c>
      <c r="H6" s="18" t="s">
        <v>46</v>
      </c>
      <c r="J6" s="20" t="s">
        <v>36</v>
      </c>
      <c r="K6" s="2">
        <f>SUMIF(E3:E35,"アルファ",F3:F35)</f>
        <v>11.5</v>
      </c>
      <c r="L6" s="2">
        <f>SUMIFS(F:F, E:E, "アルファ", H:H, "未完了")</f>
        <v>1.5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>
        <v>0.5</v>
      </c>
      <c r="H8" s="18" t="s">
        <v>46</v>
      </c>
      <c r="J8" s="24" t="s">
        <v>39</v>
      </c>
      <c r="K8" s="2">
        <f>COUNTIF(H3:H35,J8)</f>
        <v>5</v>
      </c>
      <c r="L8" s="2">
        <f>COUNTIF(H:H, "未完了")</f>
        <v>5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>
        <v>0.5</v>
      </c>
      <c r="H9" s="18" t="s">
        <v>46</v>
      </c>
      <c r="J9" s="23" t="s">
        <v>46</v>
      </c>
      <c r="K9" s="12">
        <f>COUNTIF(H3:H35,J9)</f>
        <v>22</v>
      </c>
      <c r="L9" s="65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/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>
        <v>0.5</v>
      </c>
      <c r="H11" s="18" t="s">
        <v>46</v>
      </c>
      <c r="I11" s="5"/>
      <c r="J11" t="s">
        <v>64</v>
      </c>
      <c r="K11">
        <f>SUM(F3:F35)</f>
        <v>23.5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66">
        <v>0.5</v>
      </c>
      <c r="H12" s="18" t="s">
        <v>46</v>
      </c>
      <c r="I12" s="27"/>
      <c r="J12" t="s">
        <v>53</v>
      </c>
      <c r="K12" s="5">
        <f ca="1">DATE(2026,4,17)-TODAY()</f>
        <v>16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66">
        <v>0.5</v>
      </c>
      <c r="H13" s="18" t="s">
        <v>46</v>
      </c>
      <c r="I13" s="27"/>
      <c r="J13" s="63" t="s">
        <v>52</v>
      </c>
      <c r="K13" s="5">
        <f ca="1">K11/K12</f>
        <v>1.46875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6">
        <v>0.5</v>
      </c>
      <c r="H14" s="29" t="s">
        <v>46</v>
      </c>
      <c r="I14" s="27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6">
        <v>1</v>
      </c>
      <c r="H15" s="29" t="s">
        <v>46</v>
      </c>
      <c r="I15" s="27"/>
      <c r="J15" s="41" t="s">
        <v>54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6">
        <v>0.5</v>
      </c>
      <c r="H16" s="29" t="s">
        <v>46</v>
      </c>
      <c r="I16" s="27"/>
      <c r="J16" s="31" t="s">
        <v>55</v>
      </c>
      <c r="K16" s="32" t="s">
        <v>56</v>
      </c>
      <c r="L16" s="32" t="s">
        <v>57</v>
      </c>
      <c r="M16" s="32" t="s">
        <v>58</v>
      </c>
      <c r="N16" s="32" t="s">
        <v>59</v>
      </c>
      <c r="O16" s="33" t="s">
        <v>60</v>
      </c>
      <c r="P16" s="34" t="s">
        <v>61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6">
        <v>0.5</v>
      </c>
      <c r="H17" s="29" t="s">
        <v>46</v>
      </c>
      <c r="I17" s="28"/>
      <c r="J17" s="35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6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5"/>
      <c r="H18" s="29"/>
      <c r="I18" s="5"/>
      <c r="J18" s="35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6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>
        <v>1</v>
      </c>
      <c r="H19" s="18" t="s">
        <v>46</v>
      </c>
      <c r="I19" s="5"/>
      <c r="J19" s="37">
        <v>15</v>
      </c>
      <c r="K19" s="12">
        <v>16</v>
      </c>
      <c r="L19" s="46">
        <v>17</v>
      </c>
      <c r="M19" s="46">
        <v>18</v>
      </c>
      <c r="N19" s="46">
        <v>19</v>
      </c>
      <c r="O19" s="47">
        <v>20</v>
      </c>
      <c r="P19" s="48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>
        <v>1</v>
      </c>
      <c r="H20" s="18" t="s">
        <v>46</v>
      </c>
      <c r="I20" s="5"/>
      <c r="J20" s="49">
        <v>22</v>
      </c>
      <c r="K20" s="46">
        <v>23</v>
      </c>
      <c r="L20" s="46">
        <v>24</v>
      </c>
      <c r="M20" s="46">
        <v>25</v>
      </c>
      <c r="N20" s="46">
        <v>26</v>
      </c>
      <c r="O20" s="47">
        <v>27</v>
      </c>
      <c r="P20" s="48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/>
      <c r="I21" s="5"/>
      <c r="J21" s="50">
        <v>29</v>
      </c>
      <c r="K21" s="51">
        <v>30</v>
      </c>
      <c r="L21" s="51">
        <v>31</v>
      </c>
      <c r="M21" s="38"/>
      <c r="N21" s="38"/>
      <c r="O21" s="39"/>
      <c r="P21" s="40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>
        <v>0.5</v>
      </c>
      <c r="H22" s="18" t="s">
        <v>46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>
        <v>0.5</v>
      </c>
      <c r="H23" s="18" t="s">
        <v>46</v>
      </c>
      <c r="J23" s="42" t="s">
        <v>62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 t="s">
        <v>39</v>
      </c>
      <c r="J24" s="43"/>
      <c r="K24" s="45"/>
      <c r="L24" s="45"/>
      <c r="M24" s="52">
        <v>1</v>
      </c>
      <c r="N24" s="52">
        <v>2</v>
      </c>
      <c r="O24" s="52">
        <v>3</v>
      </c>
      <c r="P24" s="53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46</v>
      </c>
      <c r="J25" s="54">
        <v>5</v>
      </c>
      <c r="K25" s="55">
        <v>6</v>
      </c>
      <c r="L25" s="56">
        <v>7</v>
      </c>
      <c r="M25" s="57">
        <v>8</v>
      </c>
      <c r="N25" s="57">
        <v>9</v>
      </c>
      <c r="O25" s="57">
        <v>10</v>
      </c>
      <c r="P25" s="36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46</v>
      </c>
      <c r="J26" s="35">
        <v>12</v>
      </c>
      <c r="K26" s="58">
        <v>13</v>
      </c>
      <c r="L26" s="12">
        <v>14</v>
      </c>
      <c r="M26" s="12">
        <v>15</v>
      </c>
      <c r="N26" s="12">
        <v>16</v>
      </c>
      <c r="O26" s="12">
        <v>17</v>
      </c>
      <c r="P26" s="36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/>
      <c r="J27" s="35">
        <v>19</v>
      </c>
      <c r="K27" s="30">
        <v>20</v>
      </c>
      <c r="L27" s="12">
        <v>21</v>
      </c>
      <c r="M27" s="12">
        <v>22</v>
      </c>
      <c r="N27" s="12">
        <v>23</v>
      </c>
      <c r="O27" s="12">
        <v>24</v>
      </c>
      <c r="P27" s="36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4">
        <v>26</v>
      </c>
      <c r="K28" s="39">
        <v>27</v>
      </c>
      <c r="L28" s="38">
        <v>28</v>
      </c>
      <c r="M28" s="38">
        <v>29</v>
      </c>
      <c r="N28" s="38">
        <v>30</v>
      </c>
      <c r="O28" s="38"/>
      <c r="P28" s="40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55000000000000004">
      <c r="B31" s="6" t="s">
        <v>43</v>
      </c>
      <c r="C31" s="3"/>
      <c r="D31" s="1"/>
      <c r="E31" s="1"/>
      <c r="F31" s="2"/>
      <c r="G31" s="2"/>
      <c r="H31" s="18"/>
      <c r="J31" s="59" t="s">
        <v>35</v>
      </c>
      <c r="M31" s="9"/>
      <c r="N31" s="9"/>
    </row>
    <row r="32" spans="2:18" x14ac:dyDescent="0.5500000000000000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>
        <v>0.5</v>
      </c>
      <c r="H32" s="18" t="s">
        <v>46</v>
      </c>
      <c r="J32" s="60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1" t="s">
        <v>38</v>
      </c>
      <c r="M33" s="5"/>
      <c r="N33" s="5"/>
    </row>
    <row r="34" spans="2:14" x14ac:dyDescent="0.5500000000000000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2" t="s">
        <v>63</v>
      </c>
      <c r="M34" s="5"/>
      <c r="N34" s="5"/>
    </row>
    <row r="35" spans="2:14" x14ac:dyDescent="0.5500000000000000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  <row r="63" spans="4:5" x14ac:dyDescent="0.5500000000000000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2026-04-01T13:26:35Z</dcterms:modified>
</cp:coreProperties>
</file>